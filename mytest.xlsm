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C10B60E9-D8F5-4C22-BC5C-A55D381D202E}" xr6:coauthVersionLast="45" xr6:coauthVersionMax="45" xr10:uidLastSave="{00000000-0000-0000-0000-000000000000}"/>
  <bookViews>
    <workbookView minimized="1" xWindow="1560" yWindow="1560" windowWidth="21600" windowHeight="11385" activeTab="1" xr2:uid="{A6FD9A08-CC57-4308-B4BF-E2BFDB161A85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5" i="1" l="1"/>
  <c r="C45" i="1" l="1"/>
  <c r="D45" i="1"/>
  <c r="E45" i="1"/>
  <c r="F45" i="1"/>
  <c r="G45" i="1"/>
  <c r="H45" i="1"/>
  <c r="I45" i="1"/>
  <c r="J45" i="1"/>
  <c r="K45" i="1"/>
  <c r="L45" i="1"/>
  <c r="B34" i="1"/>
  <c r="C34" i="1"/>
  <c r="B32" i="1"/>
  <c r="I32" i="1"/>
  <c r="I27" i="1" s="1"/>
  <c r="J32" i="1"/>
  <c r="K32" i="1"/>
  <c r="K31" i="1" s="1"/>
  <c r="K44" i="1" s="1"/>
  <c r="L32" i="1"/>
  <c r="L31" i="1" s="1"/>
  <c r="L44" i="1" s="1"/>
  <c r="C32" i="1"/>
  <c r="D32" i="1"/>
  <c r="E32" i="1"/>
  <c r="F32" i="1"/>
  <c r="F31" i="1" s="1"/>
  <c r="F44" i="1" s="1"/>
  <c r="G32" i="1"/>
  <c r="H32" i="1"/>
  <c r="H31" i="1" s="1"/>
  <c r="H44" i="1" s="1"/>
  <c r="H46" i="1" s="1"/>
  <c r="L40" i="1"/>
  <c r="L39" i="1"/>
  <c r="L38" i="1"/>
  <c r="L37" i="1"/>
  <c r="L36" i="1"/>
  <c r="L35" i="1"/>
  <c r="L34" i="1"/>
  <c r="I40" i="1"/>
  <c r="I39" i="1"/>
  <c r="I38" i="1"/>
  <c r="I37" i="1"/>
  <c r="I36" i="1"/>
  <c r="I35" i="1"/>
  <c r="I34" i="1"/>
  <c r="H40" i="1"/>
  <c r="H39" i="1"/>
  <c r="H38" i="1"/>
  <c r="H37" i="1"/>
  <c r="H36" i="1"/>
  <c r="H35" i="1"/>
  <c r="H34" i="1"/>
  <c r="K40" i="1"/>
  <c r="J40" i="1"/>
  <c r="G40" i="1"/>
  <c r="F40" i="1"/>
  <c r="E40" i="1"/>
  <c r="D40" i="1"/>
  <c r="C40" i="1"/>
  <c r="K39" i="1"/>
  <c r="J39" i="1"/>
  <c r="G39" i="1"/>
  <c r="F39" i="1"/>
  <c r="E39" i="1"/>
  <c r="D39" i="1"/>
  <c r="C39" i="1"/>
  <c r="K38" i="1"/>
  <c r="J38" i="1"/>
  <c r="G38" i="1"/>
  <c r="F38" i="1"/>
  <c r="E38" i="1"/>
  <c r="D38" i="1"/>
  <c r="C38" i="1"/>
  <c r="K37" i="1"/>
  <c r="J37" i="1"/>
  <c r="G37" i="1"/>
  <c r="F37" i="1"/>
  <c r="E37" i="1"/>
  <c r="D37" i="1"/>
  <c r="C37" i="1"/>
  <c r="K36" i="1"/>
  <c r="J36" i="1"/>
  <c r="G36" i="1"/>
  <c r="F36" i="1"/>
  <c r="E36" i="1"/>
  <c r="D36" i="1"/>
  <c r="C36" i="1"/>
  <c r="K35" i="1"/>
  <c r="J35" i="1"/>
  <c r="G35" i="1"/>
  <c r="F35" i="1"/>
  <c r="E35" i="1"/>
  <c r="D35" i="1"/>
  <c r="C35" i="1"/>
  <c r="K34" i="1"/>
  <c r="J34" i="1"/>
  <c r="G34" i="1"/>
  <c r="F34" i="1"/>
  <c r="E34" i="1"/>
  <c r="D34" i="1"/>
  <c r="B40" i="1"/>
  <c r="B39" i="1"/>
  <c r="B38" i="1"/>
  <c r="B37" i="1"/>
  <c r="B36" i="1"/>
  <c r="B35" i="1"/>
  <c r="B29" i="1" l="1"/>
  <c r="C31" i="1"/>
  <c r="C44" i="1" s="1"/>
  <c r="H27" i="1"/>
  <c r="I46" i="1"/>
  <c r="B31" i="1"/>
  <c r="B44" i="1" s="1"/>
  <c r="B46" i="1" s="1"/>
  <c r="J31" i="1"/>
  <c r="J44" i="1" s="1"/>
  <c r="J46" i="1" s="1"/>
  <c r="G27" i="1"/>
  <c r="G31" i="1"/>
  <c r="G44" i="1" s="1"/>
  <c r="I31" i="1"/>
  <c r="I44" i="1" s="1"/>
  <c r="L27" i="1"/>
  <c r="E31" i="1"/>
  <c r="E44" i="1" s="1"/>
  <c r="E46" i="1" s="1"/>
  <c r="K27" i="1"/>
  <c r="L46" i="1"/>
  <c r="D31" i="1"/>
  <c r="D44" i="1" s="1"/>
  <c r="D46" i="1" s="1"/>
  <c r="J27" i="1"/>
  <c r="K46" i="1"/>
  <c r="B30" i="1"/>
  <c r="G30" i="1"/>
  <c r="F30" i="1"/>
  <c r="E30" i="1"/>
  <c r="C30" i="1"/>
  <c r="J30" i="1"/>
  <c r="J26" i="1"/>
  <c r="I30" i="1"/>
  <c r="H30" i="1"/>
  <c r="L30" i="1"/>
  <c r="D30" i="1"/>
  <c r="K30" i="1"/>
  <c r="E24" i="1"/>
  <c r="E29" i="1"/>
  <c r="L28" i="1"/>
  <c r="G29" i="1"/>
  <c r="H29" i="1"/>
  <c r="F29" i="1"/>
  <c r="I29" i="1"/>
  <c r="J29" i="1"/>
  <c r="C29" i="1"/>
  <c r="K29" i="1"/>
  <c r="F24" i="1"/>
  <c r="D29" i="1"/>
  <c r="L29" i="1"/>
  <c r="H24" i="1"/>
  <c r="E28" i="1"/>
  <c r="I24" i="1"/>
  <c r="F28" i="1"/>
  <c r="B24" i="1"/>
  <c r="J24" i="1"/>
  <c r="G28" i="1"/>
  <c r="C24" i="1"/>
  <c r="K24" i="1"/>
  <c r="H28" i="1"/>
  <c r="D24" i="1"/>
  <c r="L24" i="1"/>
  <c r="I28" i="1"/>
  <c r="B28" i="1"/>
  <c r="J28" i="1"/>
  <c r="C28" i="1"/>
  <c r="K28" i="1"/>
  <c r="G24" i="1"/>
  <c r="D28" i="1"/>
  <c r="B26" i="1"/>
  <c r="E25" i="1" s="1"/>
  <c r="H26" i="1"/>
  <c r="F26" i="1"/>
  <c r="I26" i="1"/>
  <c r="E26" i="1"/>
  <c r="C26" i="1"/>
  <c r="K26" i="1"/>
  <c r="D26" i="1"/>
  <c r="L26" i="1"/>
  <c r="G26" i="1"/>
  <c r="F27" i="1"/>
  <c r="E27" i="1"/>
  <c r="D27" i="1"/>
  <c r="C27" i="1"/>
  <c r="B27" i="1"/>
  <c r="L42" i="1"/>
  <c r="I42" i="1"/>
  <c r="H42" i="1"/>
  <c r="D42" i="1"/>
  <c r="C42" i="1"/>
  <c r="J42" i="1"/>
  <c r="G42" i="1"/>
  <c r="K42" i="1"/>
  <c r="E42" i="1"/>
  <c r="F42" i="1"/>
  <c r="B42" i="1"/>
  <c r="F46" i="1" l="1"/>
  <c r="H25" i="1"/>
  <c r="C46" i="1"/>
  <c r="G46" i="1"/>
  <c r="K25" i="1"/>
  <c r="F25" i="1"/>
  <c r="C25" i="1"/>
  <c r="J25" i="1"/>
  <c r="D25" i="1"/>
  <c r="G25" i="1"/>
  <c r="L25" i="1"/>
  <c r="I25" i="1"/>
  <c r="B25" i="1"/>
  <c r="B47" i="1" l="1"/>
  <c r="F47" i="1"/>
  <c r="J47" i="1"/>
  <c r="H47" i="1"/>
  <c r="C47" i="1"/>
  <c r="G47" i="1"/>
  <c r="K47" i="1"/>
  <c r="K48" i="1" s="1"/>
  <c r="D47" i="1"/>
  <c r="L47" i="1"/>
  <c r="L48" i="1" s="1"/>
  <c r="E47" i="1"/>
  <c r="I47" i="1"/>
</calcChain>
</file>

<file path=xl/sharedStrings.xml><?xml version="1.0" encoding="utf-8"?>
<sst xmlns="http://schemas.openxmlformats.org/spreadsheetml/2006/main" count="122" uniqueCount="60">
  <si>
    <t>MODLE</t>
  </si>
  <si>
    <t>A</t>
  </si>
  <si>
    <t>B</t>
  </si>
  <si>
    <t>C</t>
  </si>
  <si>
    <t>BM</t>
  </si>
  <si>
    <t>BM-TTP</t>
  </si>
  <si>
    <t>R</t>
  </si>
  <si>
    <t>G</t>
  </si>
  <si>
    <t>R-MQC1</t>
  </si>
  <si>
    <t>G-MQC1</t>
  </si>
  <si>
    <t>G-MQC2</t>
  </si>
  <si>
    <t>B-MQC1</t>
  </si>
  <si>
    <t>B-MQC2</t>
  </si>
  <si>
    <t>B-Repair</t>
  </si>
  <si>
    <t>ITO</t>
  </si>
  <si>
    <t>ITO-MQC</t>
  </si>
  <si>
    <t>OC</t>
  </si>
  <si>
    <t>OC-MQC</t>
  </si>
  <si>
    <t>PS</t>
  </si>
  <si>
    <t>PS-MQC</t>
  </si>
  <si>
    <t>PS-Repair</t>
  </si>
  <si>
    <t>FI</t>
  </si>
  <si>
    <t>STK-IN</t>
  </si>
  <si>
    <t>Total</t>
  </si>
  <si>
    <t>D</t>
  </si>
  <si>
    <t>E</t>
  </si>
  <si>
    <t>F</t>
  </si>
  <si>
    <t>A-1</t>
  </si>
  <si>
    <t>B-1</t>
  </si>
  <si>
    <t>A-2</t>
  </si>
  <si>
    <t>A-3</t>
  </si>
  <si>
    <t>T</t>
  </si>
  <si>
    <t>AA-2</t>
  </si>
  <si>
    <t>helper</t>
  </si>
  <si>
    <t xml:space="preserve">Sequence </t>
  </si>
  <si>
    <t>Sorted</t>
  </si>
  <si>
    <t>Duplicate</t>
  </si>
  <si>
    <t>make duplicate become blank</t>
  </si>
  <si>
    <t>ISTEXT</t>
  </si>
  <si>
    <t>Column</t>
  </si>
  <si>
    <t>IS Result</t>
  </si>
  <si>
    <t>SMALL</t>
  </si>
  <si>
    <t>Hi I am Wood</t>
  </si>
  <si>
    <t>BM1</t>
  </si>
  <si>
    <t>BM2</t>
  </si>
  <si>
    <t>H</t>
  </si>
  <si>
    <t>SUM</t>
  </si>
  <si>
    <t>model</t>
  </si>
  <si>
    <t>line</t>
  </si>
  <si>
    <t>located line</t>
  </si>
  <si>
    <t>offset to first cell</t>
  </si>
  <si>
    <t>1st row</t>
  </si>
  <si>
    <t xml:space="preserve">2nd row </t>
  </si>
  <si>
    <t>3rd row</t>
  </si>
  <si>
    <t>4th row</t>
  </si>
  <si>
    <t xml:space="preserve">5th row </t>
  </si>
  <si>
    <t>6th row</t>
  </si>
  <si>
    <t>sum1= sum
if sum1 &lt;= 1000, 1st cell =sum1, otherwise  1st cell =1000  and sum1=sum1-1000</t>
  </si>
  <si>
    <t>move to next row, repeat last logic
if sum1 &lt;= 1000, 2st cell =sum1, otherwise  2st cell =1000  and sum1=sum1-1000</t>
  </si>
  <si>
    <t>while sum1 &gt;=0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</si>
</sst>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/>
    <xf numFmtId="16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/>
    <xf numFmtId="0" fontId="0" fillId="0" borderId="1" xfId="0" applyBorder="1"/>
    <xf numFmtId="165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A0813-F738-4E9A-A9CA-7843D9ECCC9B}">
  <sheetPr codeName="Sheet1"/>
  <dimension ref="A1:M60"/>
  <sheetViews>
    <sheetView workbookViewId="0">
      <selection activeCell="B37" sqref="B37"/>
    </sheetView>
  </sheetViews>
  <sheetFormatPr defaultRowHeight="15"/>
  <cols>
    <col min="1" max="1" width="16" style="1" customWidth="1"/>
    <col min="2" max="11" width="17" style="1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29</v>
      </c>
      <c r="J1" s="1" t="s">
        <v>30</v>
      </c>
      <c r="K1" s="1" t="s">
        <v>28</v>
      </c>
      <c r="L1" s="1" t="s">
        <v>31</v>
      </c>
    </row>
    <row r="2" spans="1:12">
      <c r="A2" s="1" t="s">
        <v>4</v>
      </c>
      <c r="B2" s="1">
        <v>10</v>
      </c>
      <c r="C2" s="1">
        <v>40</v>
      </c>
      <c r="D2" s="1">
        <v>80</v>
      </c>
      <c r="E2" s="1">
        <v>60</v>
      </c>
      <c r="F2" s="1">
        <v>50</v>
      </c>
      <c r="G2" s="1">
        <v>70</v>
      </c>
    </row>
    <row r="3" spans="1:12">
      <c r="A3" s="1" t="s">
        <v>5</v>
      </c>
      <c r="B3" s="1">
        <v>20</v>
      </c>
      <c r="C3" s="1">
        <v>50</v>
      </c>
      <c r="D3" s="1">
        <v>90</v>
      </c>
      <c r="E3" s="1">
        <v>70</v>
      </c>
      <c r="F3" s="1">
        <v>80</v>
      </c>
      <c r="G3" s="1">
        <v>80</v>
      </c>
    </row>
    <row r="4" spans="1:12">
      <c r="A4" s="1" t="s">
        <v>6</v>
      </c>
      <c r="B4" s="1">
        <v>30</v>
      </c>
      <c r="C4" s="1">
        <v>60</v>
      </c>
      <c r="D4" s="1">
        <v>10</v>
      </c>
      <c r="E4" s="1">
        <v>80</v>
      </c>
      <c r="F4" s="1">
        <v>90</v>
      </c>
      <c r="G4" s="1">
        <v>90</v>
      </c>
    </row>
    <row r="5" spans="1:12">
      <c r="A5" s="1" t="s">
        <v>8</v>
      </c>
      <c r="B5" s="1">
        <v>40</v>
      </c>
      <c r="C5" s="1">
        <v>70</v>
      </c>
      <c r="D5" s="1">
        <v>20</v>
      </c>
      <c r="E5" s="1">
        <v>90</v>
      </c>
      <c r="F5" s="1">
        <v>10</v>
      </c>
      <c r="G5" s="1">
        <v>10</v>
      </c>
    </row>
    <row r="6" spans="1:12">
      <c r="A6" s="1" t="s">
        <v>7</v>
      </c>
      <c r="B6" s="1">
        <v>50</v>
      </c>
      <c r="C6" s="1">
        <v>80</v>
      </c>
      <c r="D6" s="1">
        <v>40</v>
      </c>
      <c r="E6" s="1">
        <v>40</v>
      </c>
      <c r="F6" s="1">
        <v>20</v>
      </c>
      <c r="G6" s="1">
        <v>20</v>
      </c>
    </row>
    <row r="7" spans="1:12">
      <c r="A7" s="1" t="s">
        <v>9</v>
      </c>
      <c r="B7" s="1">
        <v>60</v>
      </c>
      <c r="C7" s="1">
        <v>90</v>
      </c>
      <c r="D7" s="1">
        <v>50</v>
      </c>
      <c r="E7" s="1">
        <v>50</v>
      </c>
      <c r="F7" s="1">
        <v>40</v>
      </c>
      <c r="G7" s="1">
        <v>40</v>
      </c>
    </row>
    <row r="8" spans="1:12">
      <c r="A8" s="1" t="s">
        <v>10</v>
      </c>
      <c r="B8" s="1">
        <v>70</v>
      </c>
      <c r="C8" s="1">
        <v>10</v>
      </c>
      <c r="D8" s="1">
        <v>80</v>
      </c>
      <c r="E8" s="1">
        <v>60</v>
      </c>
      <c r="F8" s="1">
        <v>50</v>
      </c>
      <c r="G8" s="1">
        <v>10</v>
      </c>
    </row>
    <row r="9" spans="1:12">
      <c r="A9" s="1" t="s">
        <v>2</v>
      </c>
      <c r="B9" s="1">
        <v>80</v>
      </c>
      <c r="C9" s="1">
        <v>20</v>
      </c>
      <c r="D9" s="1">
        <v>90</v>
      </c>
      <c r="E9" s="1">
        <v>70</v>
      </c>
      <c r="F9" s="1">
        <v>80</v>
      </c>
      <c r="G9" s="1">
        <v>20</v>
      </c>
      <c r="H9" s="1">
        <v>100</v>
      </c>
      <c r="I9" s="1">
        <v>100</v>
      </c>
      <c r="J9" s="1">
        <v>100</v>
      </c>
    </row>
    <row r="10" spans="1:12">
      <c r="A10" s="1" t="s">
        <v>11</v>
      </c>
      <c r="B10" s="1">
        <v>90</v>
      </c>
      <c r="C10" s="1">
        <v>40</v>
      </c>
      <c r="D10" s="1">
        <v>10</v>
      </c>
      <c r="E10" s="1">
        <v>60</v>
      </c>
      <c r="F10" s="1">
        <v>70</v>
      </c>
      <c r="G10" s="1">
        <v>40</v>
      </c>
    </row>
    <row r="11" spans="1:12">
      <c r="A11" s="1" t="s">
        <v>12</v>
      </c>
      <c r="B11" s="1">
        <v>10</v>
      </c>
      <c r="C11" s="1">
        <v>50</v>
      </c>
      <c r="D11" s="1">
        <v>20</v>
      </c>
      <c r="E11" s="1">
        <v>70</v>
      </c>
      <c r="F11" s="1">
        <v>80</v>
      </c>
      <c r="G11" s="1">
        <v>50</v>
      </c>
    </row>
    <row r="12" spans="1:12">
      <c r="A12" s="1" t="s">
        <v>13</v>
      </c>
      <c r="B12" s="1">
        <v>20</v>
      </c>
      <c r="C12" s="1">
        <v>60</v>
      </c>
      <c r="D12" s="1">
        <v>40</v>
      </c>
      <c r="E12" s="1">
        <v>80</v>
      </c>
      <c r="F12" s="1">
        <v>90</v>
      </c>
      <c r="G12" s="1">
        <v>80</v>
      </c>
    </row>
    <row r="13" spans="1:12">
      <c r="A13" s="1" t="s">
        <v>14</v>
      </c>
      <c r="B13" s="1">
        <v>30</v>
      </c>
      <c r="C13" s="1">
        <v>70</v>
      </c>
      <c r="D13" s="1">
        <v>50</v>
      </c>
      <c r="E13" s="1">
        <v>90</v>
      </c>
      <c r="F13" s="1">
        <v>10</v>
      </c>
      <c r="G13" s="1">
        <v>90</v>
      </c>
      <c r="K13" s="1">
        <v>100</v>
      </c>
    </row>
    <row r="14" spans="1:12">
      <c r="A14" s="1" t="s">
        <v>15</v>
      </c>
      <c r="B14" s="1">
        <v>40</v>
      </c>
      <c r="C14" s="1">
        <v>80</v>
      </c>
      <c r="D14" s="1">
        <v>80</v>
      </c>
      <c r="E14" s="1">
        <v>40</v>
      </c>
      <c r="F14" s="1">
        <v>20</v>
      </c>
      <c r="G14" s="1">
        <v>10</v>
      </c>
    </row>
    <row r="15" spans="1:12">
      <c r="A15" s="1" t="s">
        <v>16</v>
      </c>
      <c r="B15" s="1">
        <v>50</v>
      </c>
      <c r="C15" s="1">
        <v>90</v>
      </c>
      <c r="D15" s="1">
        <v>90</v>
      </c>
      <c r="E15" s="1">
        <v>50</v>
      </c>
      <c r="F15" s="1">
        <v>40</v>
      </c>
      <c r="G15" s="1">
        <v>20</v>
      </c>
      <c r="L15">
        <v>120</v>
      </c>
    </row>
    <row r="16" spans="1:12">
      <c r="A16" s="1" t="s">
        <v>17</v>
      </c>
      <c r="B16" s="1">
        <v>60</v>
      </c>
      <c r="C16" s="1">
        <v>10</v>
      </c>
      <c r="D16" s="1">
        <v>10</v>
      </c>
      <c r="E16" s="1">
        <v>60</v>
      </c>
      <c r="F16" s="1">
        <v>20</v>
      </c>
      <c r="G16" s="1">
        <v>40</v>
      </c>
    </row>
    <row r="17" spans="1:12">
      <c r="A17" s="1" t="s">
        <v>18</v>
      </c>
      <c r="B17" s="1">
        <v>70</v>
      </c>
      <c r="C17" s="1">
        <v>20</v>
      </c>
      <c r="D17" s="1">
        <v>20</v>
      </c>
      <c r="E17" s="1">
        <v>70</v>
      </c>
      <c r="F17" s="1">
        <v>30</v>
      </c>
      <c r="G17" s="1">
        <v>50</v>
      </c>
    </row>
    <row r="18" spans="1:12">
      <c r="A18" s="1" t="s">
        <v>19</v>
      </c>
      <c r="B18" s="1">
        <v>80</v>
      </c>
      <c r="C18" s="1">
        <v>80</v>
      </c>
      <c r="D18" s="1">
        <v>40</v>
      </c>
      <c r="E18" s="1">
        <v>10</v>
      </c>
      <c r="F18" s="1">
        <v>40</v>
      </c>
      <c r="G18" s="1">
        <v>80</v>
      </c>
    </row>
    <row r="19" spans="1:12">
      <c r="A19" s="1" t="s">
        <v>20</v>
      </c>
      <c r="B19" s="1">
        <v>30</v>
      </c>
      <c r="C19" s="1">
        <v>70</v>
      </c>
      <c r="D19" s="1">
        <v>50</v>
      </c>
      <c r="E19" s="1">
        <v>20</v>
      </c>
      <c r="F19" s="1">
        <v>50</v>
      </c>
      <c r="G19" s="1">
        <v>40</v>
      </c>
    </row>
    <row r="20" spans="1:12">
      <c r="A20" s="1" t="s">
        <v>21</v>
      </c>
      <c r="B20" s="1">
        <v>40</v>
      </c>
      <c r="C20" s="1">
        <v>80</v>
      </c>
      <c r="D20" s="1">
        <v>40</v>
      </c>
      <c r="E20" s="1">
        <v>10</v>
      </c>
      <c r="F20" s="1">
        <v>40</v>
      </c>
      <c r="G20" s="1">
        <v>50</v>
      </c>
    </row>
    <row r="21" spans="1:12">
      <c r="A21" s="1" t="s">
        <v>22</v>
      </c>
      <c r="B21" s="1">
        <v>100</v>
      </c>
      <c r="C21" s="1">
        <v>150</v>
      </c>
      <c r="D21" s="1">
        <v>250</v>
      </c>
      <c r="E21" s="1">
        <v>20</v>
      </c>
      <c r="F21" s="1">
        <v>50</v>
      </c>
      <c r="G21" s="1">
        <v>60</v>
      </c>
    </row>
    <row r="24" spans="1:12" hidden="1">
      <c r="A24" s="1" t="s">
        <v>36</v>
      </c>
      <c r="B24" s="1">
        <f>COUNTIF($B$32:$L$32,"="&amp;B32)</f>
        <v>4</v>
      </c>
      <c r="C24" s="1">
        <f t="shared" ref="C24:L24" si="0">COUNTIF($B$32:$L$32,"="&amp;C32)</f>
        <v>2</v>
      </c>
      <c r="D24" s="1">
        <f t="shared" si="0"/>
        <v>1</v>
      </c>
      <c r="E24" s="1">
        <f t="shared" si="0"/>
        <v>4</v>
      </c>
      <c r="F24" s="1">
        <f t="shared" si="0"/>
        <v>1</v>
      </c>
      <c r="G24" s="1">
        <f t="shared" si="0"/>
        <v>1</v>
      </c>
      <c r="H24" s="1">
        <f t="shared" si="0"/>
        <v>4</v>
      </c>
      <c r="I24" s="1">
        <f t="shared" si="0"/>
        <v>1</v>
      </c>
      <c r="J24" s="1">
        <f t="shared" si="0"/>
        <v>4</v>
      </c>
      <c r="K24" s="1">
        <f t="shared" si="0"/>
        <v>2</v>
      </c>
      <c r="L24" s="1">
        <f t="shared" si="0"/>
        <v>1</v>
      </c>
    </row>
    <row r="25" spans="1:12" hidden="1">
      <c r="A25" s="1" t="s">
        <v>35</v>
      </c>
      <c r="B25" s="1" t="e">
        <f>INDEX($B$32:$L$32,MATCH(COLUMNS($B$26:B26),$B$26:$L$26,0))</f>
        <v>#N/A</v>
      </c>
      <c r="C25" s="1" t="e">
        <f>INDEX($B$32:$L$32,MATCH(COLUMNS($B$26:C26),$B$26:$L$26,0))</f>
        <v>#N/A</v>
      </c>
      <c r="D25" s="1" t="e">
        <f>INDEX($B$32:$L$32,MATCH(COLUMNS($B$26:D26),$B$26:$L$26,0))</f>
        <v>#N/A</v>
      </c>
      <c r="E25" s="1" t="str">
        <f>INDEX($B$32:$L$32,MATCH(COLUMNS($B$26:E26),$B$26:$L$26,0))</f>
        <v>A</v>
      </c>
      <c r="F25" s="1" t="str">
        <f>INDEX($B$32:$L$32,MATCH(COLUMNS($B$26:F26),$B$26:$L$26,0))</f>
        <v>AA</v>
      </c>
      <c r="G25" s="1" t="e">
        <f>INDEX($B$32:$L$32,MATCH(COLUMNS($B$26:G26),$B$26:$L$26,0))</f>
        <v>#N/A</v>
      </c>
      <c r="H25" s="1" t="str">
        <f>INDEX($B$32:$L$32,MATCH(COLUMNS($B$26:H26),$B$26:$L$26,0))</f>
        <v>B</v>
      </c>
      <c r="I25" s="1" t="str">
        <f>INDEX($B$32:$L$32,MATCH(COLUMNS($B$26:I26),$B$26:$L$26,0))</f>
        <v>C</v>
      </c>
      <c r="J25" s="1" t="str">
        <f>INDEX($B$32:$L$32,MATCH(COLUMNS($B$26:J26),$B$26:$L$26,0))</f>
        <v>E</v>
      </c>
      <c r="K25" s="1" t="str">
        <f>INDEX($B$32:$L$32,MATCH(COLUMNS($B$26:K26),$B$26:$L$26,0))</f>
        <v>F</v>
      </c>
      <c r="L25" s="1" t="str">
        <f>INDEX($B$32:$L$32,MATCH(COLUMNS($B$26:L26),$B$26:$L$26,0))</f>
        <v>T</v>
      </c>
    </row>
    <row r="26" spans="1:12" hidden="1">
      <c r="A26" s="1" t="s">
        <v>34</v>
      </c>
      <c r="B26" s="1">
        <f>COUNTIF($B$32:$L$32,"&lt;="&amp;B$32)</f>
        <v>4</v>
      </c>
      <c r="C26" s="1">
        <f t="shared" ref="C26:L26" si="1">COUNTIF($B$32:$L$32,"&lt;="&amp;C$32)</f>
        <v>7</v>
      </c>
      <c r="D26" s="1">
        <f t="shared" si="1"/>
        <v>8</v>
      </c>
      <c r="E26" s="1">
        <f t="shared" si="1"/>
        <v>4</v>
      </c>
      <c r="F26" s="1">
        <f t="shared" si="1"/>
        <v>9</v>
      </c>
      <c r="G26" s="1">
        <f t="shared" si="1"/>
        <v>10</v>
      </c>
      <c r="H26" s="1">
        <f t="shared" si="1"/>
        <v>4</v>
      </c>
      <c r="I26" s="1">
        <f t="shared" si="1"/>
        <v>5</v>
      </c>
      <c r="J26" s="1">
        <f t="shared" si="1"/>
        <v>4</v>
      </c>
      <c r="K26" s="1">
        <f t="shared" si="1"/>
        <v>7</v>
      </c>
      <c r="L26" s="1">
        <f t="shared" si="1"/>
        <v>11</v>
      </c>
    </row>
    <row r="27" spans="1:12" hidden="1">
      <c r="A27" s="1" t="s">
        <v>33</v>
      </c>
      <c r="B27" s="1">
        <f>COUNTIF(B32:L32,B32)</f>
        <v>4</v>
      </c>
      <c r="C27" s="1">
        <f t="shared" ref="C27:L27" si="2">COUNTIF(C32:M32,C32)</f>
        <v>2</v>
      </c>
      <c r="D27" s="1">
        <f t="shared" si="2"/>
        <v>1</v>
      </c>
      <c r="E27" s="1">
        <f t="shared" si="2"/>
        <v>3</v>
      </c>
      <c r="F27" s="1">
        <f t="shared" si="2"/>
        <v>1</v>
      </c>
      <c r="G27" s="1">
        <f t="shared" si="2"/>
        <v>1</v>
      </c>
      <c r="H27" s="1">
        <f t="shared" si="2"/>
        <v>2</v>
      </c>
      <c r="I27" s="1">
        <f t="shared" si="2"/>
        <v>1</v>
      </c>
      <c r="J27" s="1">
        <f t="shared" si="2"/>
        <v>1</v>
      </c>
      <c r="K27" s="1">
        <f t="shared" si="2"/>
        <v>1</v>
      </c>
      <c r="L27" s="1">
        <f t="shared" si="2"/>
        <v>1</v>
      </c>
    </row>
    <row r="28" spans="1:12" hidden="1">
      <c r="B28" s="1">
        <f>COUNTIF($B$32:$L32,$B$32:$L32)</f>
        <v>4</v>
      </c>
      <c r="C28" s="1">
        <f>COUNTIF($B$32:$L32,$B$32:$L32)</f>
        <v>2</v>
      </c>
      <c r="D28" s="1">
        <f>COUNTIF($B$32:$L32,$B$32:$L32)</f>
        <v>1</v>
      </c>
      <c r="E28" s="1">
        <f>COUNTIF($B$32:$L32,$B$32:$L32)</f>
        <v>4</v>
      </c>
      <c r="F28" s="1">
        <f>COUNTIF($B$32:$L32,$B$32:$L32)</f>
        <v>1</v>
      </c>
      <c r="G28" s="1">
        <f>COUNTIF($B$32:$L32,$B$32:$L32)</f>
        <v>1</v>
      </c>
      <c r="H28" s="1">
        <f>COUNTIF($B$32:$L32,$B$32:$L32)</f>
        <v>4</v>
      </c>
      <c r="I28" s="1">
        <f>COUNTIF($B$32:$L32,$B$32:$L32)</f>
        <v>1</v>
      </c>
      <c r="J28" s="1">
        <f>COUNTIF($B$32:$L32,$B$32:$L32)</f>
        <v>4</v>
      </c>
      <c r="K28" s="1">
        <f>COUNTIF($B$32:$L32,$B$32:$L32)</f>
        <v>2</v>
      </c>
      <c r="L28" s="1">
        <f>COUNTIF($B$32:$L32,$B$32:$L32)</f>
        <v>1</v>
      </c>
    </row>
    <row r="29" spans="1:12" hidden="1">
      <c r="B29" s="1" t="b">
        <f>COUNTIF($B$32:$L$32,$B$32:B32)&lt;&gt;1</f>
        <v>1</v>
      </c>
      <c r="C29" s="1" t="b">
        <f>COUNTIF($B$32:$L$32,$B$32:C32)&lt;&gt;1</f>
        <v>1</v>
      </c>
      <c r="D29" s="1" t="b">
        <f>COUNTIF($B$32:$L$32,$B$32:D32)&lt;&gt;1</f>
        <v>0</v>
      </c>
      <c r="E29" s="1" t="b">
        <f>COUNTIF($B$32:$L$32,$B$32:E32)&lt;&gt;1</f>
        <v>1</v>
      </c>
      <c r="F29" s="1" t="b">
        <f>COUNTIF($B$32:$L$32,$B$32:F32)&lt;&gt;1</f>
        <v>0</v>
      </c>
      <c r="G29" s="1" t="b">
        <f>COUNTIF($B$32:$L$32,$B$32:G32)&lt;&gt;1</f>
        <v>0</v>
      </c>
      <c r="H29" s="1" t="b">
        <f>COUNTIF($B$32:$L$32,$B$32:H32)&lt;&gt;1</f>
        <v>1</v>
      </c>
      <c r="I29" s="1" t="b">
        <f>COUNTIF($B$32:$L$32,$B$32:I32)&lt;&gt;1</f>
        <v>0</v>
      </c>
      <c r="J29" s="1" t="b">
        <f>COUNTIF($B$32:$L$32,$B$32:J32)&lt;&gt;1</f>
        <v>1</v>
      </c>
      <c r="K29" s="1" t="b">
        <f>COUNTIF($B$32:$L$32,$B$32:K32)&lt;&gt;1</f>
        <v>1</v>
      </c>
      <c r="L29" s="1" t="b">
        <f>COUNTIF($B$32:$L$32,$B$32:L32)&lt;&gt;1</f>
        <v>0</v>
      </c>
    </row>
    <row r="30" spans="1:12" hidden="1">
      <c r="B30" s="1" t="b">
        <f>COUNTIF($B$32:$L32,$B$32:$L32)*COUNTIF($B$32:$L$32,$B$32:B32)&lt;&gt;1</f>
        <v>1</v>
      </c>
      <c r="C30" s="1" t="b">
        <f>COUNTIF($B$32:$L32,$B$32:$L32)*COUNTIF($B$32:$L$32,$B$32:C32)&lt;&gt;1</f>
        <v>1</v>
      </c>
      <c r="D30" s="1" t="b">
        <f>COUNTIF($B$32:$L32,$B$32:$L32)*COUNTIF($B$32:$L$32,$B$32:D32)&lt;&gt;1</f>
        <v>0</v>
      </c>
      <c r="E30" s="1" t="b">
        <f>COUNTIF($B$32:$L32,$B$32:$L32)*COUNTIF($B$32:$L$32,$B$32:E32)&lt;&gt;1</f>
        <v>1</v>
      </c>
      <c r="F30" s="1" t="b">
        <f>COUNTIF($B$32:$L32,$B$32:$L32)*COUNTIF($B$32:$L$32,$B$32:F32)&lt;&gt;1</f>
        <v>0</v>
      </c>
      <c r="G30" s="1" t="b">
        <f>COUNTIF($B$32:$L32,$B$32:$L32)*COUNTIF($B$32:$L$32,$B$32:G32)&lt;&gt;1</f>
        <v>0</v>
      </c>
      <c r="H30" s="1" t="b">
        <f>COUNTIF($B$32:$L32,$B$32:$L32)*COUNTIF($B$32:$L$32,$B$32:H32)&lt;&gt;1</f>
        <v>1</v>
      </c>
      <c r="I30" s="1" t="b">
        <f>COUNTIF($B$32:$L32,$B$32:$L32)*COUNTIF($B$32:$L$32,$B$32:I32)&lt;&gt;1</f>
        <v>0</v>
      </c>
      <c r="J30" s="1" t="b">
        <f>COUNTIF($B$32:$L32,$B$32:$L32)*COUNTIF($B$32:$L$32,$B$32:J32)&lt;&gt;1</f>
        <v>1</v>
      </c>
      <c r="K30" s="1" t="b">
        <f>COUNTIF($B$32:$L32,$B$32:$L32)*COUNTIF($B$32:$L$32,$B$32:K32)&lt;&gt;1</f>
        <v>1</v>
      </c>
      <c r="L30" s="1" t="b">
        <f>COUNTIF($B$32:$L32,$B$32:$L32)*COUNTIF($B$32:$L$32,$B$32:L32)&lt;&gt;1</f>
        <v>0</v>
      </c>
    </row>
    <row r="31" spans="1:12">
      <c r="A31" s="1" t="s">
        <v>37</v>
      </c>
      <c r="B31" s="1">
        <f>IF(COUNTIF(B32:$L32,B32)=1,B32,0)</f>
        <v>0</v>
      </c>
      <c r="C31" s="1">
        <f>IF(COUNTIF(C32:$L32,C32)=1,C32,0)</f>
        <v>0</v>
      </c>
      <c r="D31" s="1" t="str">
        <f>IF(COUNTIF(D32:$L32,D32)=1,D32,0)</f>
        <v>C</v>
      </c>
      <c r="E31" s="1">
        <f>IF(COUNTIF(E32:$L32,E32)=1,E32,0)</f>
        <v>0</v>
      </c>
      <c r="F31" s="1" t="str">
        <f>IF(COUNTIF(F32:$L32,F32)=1,F32,0)</f>
        <v>E</v>
      </c>
      <c r="G31" s="1" t="str">
        <f>IF(COUNTIF(G32:$L32,G32)=1,G32,0)</f>
        <v>F</v>
      </c>
      <c r="H31" s="1">
        <f>IF(COUNTIF(H32:$L32,H32)=1,H32,0)</f>
        <v>0</v>
      </c>
      <c r="I31" s="1" t="str">
        <f>IF(COUNTIF(I32:$L32,I32)=1,I32,0)</f>
        <v>AA</v>
      </c>
      <c r="J31" s="1" t="str">
        <f>IF(COUNTIF(J32:$L32,J32)=1,J32,0)</f>
        <v>A</v>
      </c>
      <c r="K31" s="1" t="str">
        <f>IF(COUNTIF(K32:$L32,K32)=1,K32,0)</f>
        <v>B</v>
      </c>
      <c r="L31" s="1" t="str">
        <f>IF(COUNTIF(L32:$L32,L32)=1,L32,0)</f>
        <v>T</v>
      </c>
    </row>
    <row r="32" spans="1:12">
      <c r="B32" s="2" t="str">
        <f>IFERROR(LEFT(B33,SEARCH("-",B33)-1),B33)</f>
        <v>A</v>
      </c>
      <c r="C32" s="2" t="str">
        <f t="shared" ref="C32:G32" si="3">IFERROR(LEFT(C33,SEARCH("-",C33)-1),C33)</f>
        <v>B</v>
      </c>
      <c r="D32" s="2" t="str">
        <f t="shared" si="3"/>
        <v>C</v>
      </c>
      <c r="E32" s="2" t="str">
        <f t="shared" si="3"/>
        <v>A</v>
      </c>
      <c r="F32" s="2" t="str">
        <f t="shared" si="3"/>
        <v>E</v>
      </c>
      <c r="G32" s="2" t="str">
        <f t="shared" si="3"/>
        <v>F</v>
      </c>
      <c r="H32" s="2" t="str">
        <f>IFERROR(LEFT(H33,SEARCH("-",H33)-1),H33)</f>
        <v>A</v>
      </c>
      <c r="I32" s="2" t="str">
        <f t="shared" ref="I32:L32" si="4">IFERROR(LEFT(I33,SEARCH("-",I33)-1),I33)</f>
        <v>AA</v>
      </c>
      <c r="J32" s="2" t="str">
        <f t="shared" si="4"/>
        <v>A</v>
      </c>
      <c r="K32" s="2" t="str">
        <f t="shared" si="4"/>
        <v>B</v>
      </c>
      <c r="L32" s="2" t="str">
        <f t="shared" si="4"/>
        <v>T</v>
      </c>
    </row>
    <row r="33" spans="1:13">
      <c r="A33" s="1" t="s">
        <v>0</v>
      </c>
      <c r="B33" s="1" t="s">
        <v>1</v>
      </c>
      <c r="C33" s="1" t="s">
        <v>2</v>
      </c>
      <c r="D33" s="1" t="s">
        <v>3</v>
      </c>
      <c r="E33" s="1" t="s">
        <v>1</v>
      </c>
      <c r="F33" s="1" t="s">
        <v>25</v>
      </c>
      <c r="G33" s="1" t="s">
        <v>26</v>
      </c>
      <c r="H33" s="1" t="s">
        <v>1</v>
      </c>
      <c r="I33" s="1" t="s">
        <v>32</v>
      </c>
      <c r="J33" s="1" t="s">
        <v>30</v>
      </c>
      <c r="K33" s="1" t="s">
        <v>28</v>
      </c>
      <c r="L33" s="1" t="s">
        <v>31</v>
      </c>
    </row>
    <row r="34" spans="1:13">
      <c r="A34" s="1" t="s">
        <v>4</v>
      </c>
      <c r="B34" s="1">
        <f>B2</f>
        <v>10</v>
      </c>
      <c r="C34" s="1">
        <f t="shared" ref="C34:K34" si="5">C2</f>
        <v>40</v>
      </c>
      <c r="D34" s="1">
        <f t="shared" si="5"/>
        <v>80</v>
      </c>
      <c r="E34" s="1">
        <f t="shared" si="5"/>
        <v>60</v>
      </c>
      <c r="F34" s="1">
        <f t="shared" si="5"/>
        <v>50</v>
      </c>
      <c r="G34" s="1">
        <f t="shared" si="5"/>
        <v>70</v>
      </c>
      <c r="H34" s="1">
        <f t="shared" ref="H34:I34" si="6">H2</f>
        <v>0</v>
      </c>
      <c r="I34" s="1">
        <f t="shared" si="6"/>
        <v>0</v>
      </c>
      <c r="J34" s="1">
        <f t="shared" si="5"/>
        <v>0</v>
      </c>
      <c r="K34" s="1">
        <f t="shared" si="5"/>
        <v>0</v>
      </c>
      <c r="L34" s="1">
        <f t="shared" ref="L34" si="7">L2</f>
        <v>0</v>
      </c>
    </row>
    <row r="35" spans="1:13">
      <c r="A35" s="1" t="s">
        <v>6</v>
      </c>
      <c r="B35" s="1">
        <f>SUM(B$3:INDEX(B$2:B$21,MATCH($A35,$A$2:$A$21,0)))</f>
        <v>50</v>
      </c>
      <c r="C35" s="1">
        <f>SUM(C$3:INDEX(C$2:C$21,MATCH($A35,$A$2:$A$21,0)))</f>
        <v>110</v>
      </c>
      <c r="D35" s="1">
        <f>SUM(D$3:INDEX(D$2:D$21,MATCH($A35,$A$2:$A$21,0)))</f>
        <v>100</v>
      </c>
      <c r="E35" s="1">
        <f>SUM(E$3:INDEX(E$2:E$21,MATCH($A35,$A$2:$A$21,0)))</f>
        <v>150</v>
      </c>
      <c r="F35" s="1">
        <f>SUM(F$3:INDEX(F$2:F$21,MATCH($A35,$A$2:$A$21,0)))</f>
        <v>170</v>
      </c>
      <c r="G35" s="1">
        <f>SUM(G$3:INDEX(G$2:G$21,MATCH($A35,$A$2:$A$21,0)))</f>
        <v>170</v>
      </c>
      <c r="H35" s="1">
        <f>SUM(H$3:INDEX(H$2:H$21,MATCH($A35,$A$2:$A$21,0)))</f>
        <v>0</v>
      </c>
      <c r="I35" s="1">
        <f>SUM(I$3:INDEX(I$2:I$21,MATCH($A35,$A$2:$A$21,0)))</f>
        <v>0</v>
      </c>
      <c r="J35" s="1">
        <f>SUM(J$3:INDEX(J$2:J$21,MATCH($A35,$A$2:$A$21,0)))</f>
        <v>0</v>
      </c>
      <c r="K35" s="1">
        <f>SUM(K$3:INDEX(K$2:K$21,MATCH($A35,$A$2:$A$21,0)))</f>
        <v>0</v>
      </c>
      <c r="L35" s="1">
        <f>SUM(L$3:INDEX(L$2:L$21,MATCH($A35,$A$2:$A$21,0)))</f>
        <v>0</v>
      </c>
    </row>
    <row r="36" spans="1:13">
      <c r="A36" s="1" t="s">
        <v>7</v>
      </c>
      <c r="B36" s="1">
        <f ca="1">SUM(OFFSET(INDEX(B$2:B$21,MATCH($A35,$A$2:$A$21,0)),1,0):INDEX(B$2:B$21,MATCH($A36,$A$2:$A$21,0)))</f>
        <v>90</v>
      </c>
      <c r="C36" s="1">
        <f ca="1">SUM(OFFSET(INDEX(C$2:C$21,MATCH($A35,$A$2:$A$21,0)),1,0):INDEX(C$2:C$21,MATCH($A36,$A$2:$A$21,0)))</f>
        <v>150</v>
      </c>
      <c r="D36" s="1">
        <f ca="1">SUM(OFFSET(INDEX(D$2:D$21,MATCH($A35,$A$2:$A$21,0)),1,0):INDEX(D$2:D$21,MATCH($A36,$A$2:$A$21,0)))</f>
        <v>60</v>
      </c>
      <c r="E36" s="1">
        <f ca="1">SUM(OFFSET(INDEX(E$2:E$21,MATCH($A35,$A$2:$A$21,0)),1,0):INDEX(E$2:E$21,MATCH($A36,$A$2:$A$21,0)))</f>
        <v>130</v>
      </c>
      <c r="F36" s="1">
        <f ca="1">SUM(OFFSET(INDEX(F$2:F$21,MATCH($A35,$A$2:$A$21,0)),1,0):INDEX(F$2:F$21,MATCH($A36,$A$2:$A$21,0)))</f>
        <v>30</v>
      </c>
      <c r="G36" s="1">
        <f ca="1">SUM(OFFSET(INDEX(G$2:G$21,MATCH($A35,$A$2:$A$21,0)),1,0):INDEX(G$2:G$21,MATCH($A36,$A$2:$A$21,0)))</f>
        <v>30</v>
      </c>
      <c r="H36" s="1">
        <f ca="1">SUM(OFFSET(INDEX(H$2:H$21,MATCH($A35,$A$2:$A$21,0)),1,0):INDEX(H$2:H$21,MATCH($A36,$A$2:$A$21,0)))</f>
        <v>0</v>
      </c>
      <c r="I36" s="1">
        <f ca="1">SUM(OFFSET(INDEX(I$2:I$21,MATCH($A35,$A$2:$A$21,0)),1,0):INDEX(I$2:I$21,MATCH($A36,$A$2:$A$21,0)))</f>
        <v>0</v>
      </c>
      <c r="J36" s="1">
        <f ca="1">SUM(OFFSET(INDEX(J$2:J$21,MATCH($A35,$A$2:$A$21,0)),1,0):INDEX(J$2:J$21,MATCH($A36,$A$2:$A$21,0)))</f>
        <v>0</v>
      </c>
      <c r="K36" s="1">
        <f ca="1">SUM(OFFSET(INDEX(K$2:K$21,MATCH($A35,$A$2:$A$21,0)),1,0):INDEX(K$2:K$21,MATCH($A36,$A$2:$A$21,0)))</f>
        <v>0</v>
      </c>
      <c r="L36" s="1">
        <f ca="1">SUM(OFFSET(INDEX(L$2:L$21,MATCH($A35,$A$2:$A$21,0)),1,0):INDEX(L$2:L$21,MATCH($A36,$A$2:$A$21,0)))</f>
        <v>0</v>
      </c>
    </row>
    <row r="37" spans="1:13">
      <c r="A37" s="1" t="s">
        <v>2</v>
      </c>
      <c r="B37" s="1">
        <f ca="1">SUM(OFFSET(INDEX(B$2:B$21,MATCH($A36,$A$2:$A$21,0)),1,0):INDEX(B$2:B$21,MATCH($A37,$A$2:$A$21,0)))</f>
        <v>210</v>
      </c>
      <c r="C37" s="1">
        <f ca="1">SUM(OFFSET(INDEX(C$2:C$21,MATCH($A36,$A$2:$A$21,0)),1,0):INDEX(C$2:C$21,MATCH($A37,$A$2:$A$21,0)))</f>
        <v>120</v>
      </c>
      <c r="D37" s="1">
        <f ca="1">SUM(OFFSET(INDEX(D$2:D$21,MATCH($A36,$A$2:$A$21,0)),1,0):INDEX(D$2:D$21,MATCH($A37,$A$2:$A$21,0)))</f>
        <v>220</v>
      </c>
      <c r="E37" s="1">
        <f ca="1">SUM(OFFSET(INDEX(E$2:E$21,MATCH($A36,$A$2:$A$21,0)),1,0):INDEX(E$2:E$21,MATCH($A37,$A$2:$A$21,0)))</f>
        <v>180</v>
      </c>
      <c r="F37" s="1">
        <f ca="1">SUM(OFFSET(INDEX(F$2:F$21,MATCH($A36,$A$2:$A$21,0)),1,0):INDEX(F$2:F$21,MATCH($A37,$A$2:$A$21,0)))</f>
        <v>170</v>
      </c>
      <c r="G37" s="1">
        <f ca="1">SUM(OFFSET(INDEX(G$2:G$21,MATCH($A36,$A$2:$A$21,0)),1,0):INDEX(G$2:G$21,MATCH($A37,$A$2:$A$21,0)))</f>
        <v>70</v>
      </c>
      <c r="H37" s="1">
        <f ca="1">SUM(OFFSET(INDEX(H$2:H$21,MATCH($A36,$A$2:$A$21,0)),1,0):INDEX(H$2:H$21,MATCH($A37,$A$2:$A$21,0)))</f>
        <v>100</v>
      </c>
      <c r="I37" s="1">
        <f ca="1">SUM(OFFSET(INDEX(I$2:I$21,MATCH($A36,$A$2:$A$21,0)),1,0):INDEX(I$2:I$21,MATCH($A37,$A$2:$A$21,0)))</f>
        <v>100</v>
      </c>
      <c r="J37" s="1">
        <f ca="1">SUM(OFFSET(INDEX(J$2:J$21,MATCH($A36,$A$2:$A$21,0)),1,0):INDEX(J$2:J$21,MATCH($A37,$A$2:$A$21,0)))</f>
        <v>100</v>
      </c>
      <c r="K37" s="1">
        <f ca="1">SUM(OFFSET(INDEX(K$2:K$21,MATCH($A36,$A$2:$A$21,0)),1,0):INDEX(K$2:K$21,MATCH($A37,$A$2:$A$21,0)))</f>
        <v>0</v>
      </c>
      <c r="L37" s="1">
        <f ca="1">SUM(OFFSET(INDEX(L$2:L$21,MATCH($A36,$A$2:$A$21,0)),1,0):INDEX(L$2:L$21,MATCH($A37,$A$2:$A$21,0)))</f>
        <v>0</v>
      </c>
    </row>
    <row r="38" spans="1:13">
      <c r="A38" s="1" t="s">
        <v>16</v>
      </c>
      <c r="B38" s="1">
        <f ca="1">SUM(OFFSET(INDEX(B$2:B$21,MATCH($A37,$A$2:$A$21,0)),1,0):INDEX(B$2:B$21,MATCH($A38,$A$2:$A$21,0)))</f>
        <v>240</v>
      </c>
      <c r="C38" s="1">
        <f ca="1">SUM(OFFSET(INDEX(C$2:C$21,MATCH($A37,$A$2:$A$21,0)),1,0):INDEX(C$2:C$21,MATCH($A38,$A$2:$A$21,0)))</f>
        <v>390</v>
      </c>
      <c r="D38" s="1">
        <f ca="1">SUM(OFFSET(INDEX(D$2:D$21,MATCH($A37,$A$2:$A$21,0)),1,0):INDEX(D$2:D$21,MATCH($A38,$A$2:$A$21,0)))</f>
        <v>290</v>
      </c>
      <c r="E38" s="1">
        <f ca="1">SUM(OFFSET(INDEX(E$2:E$21,MATCH($A37,$A$2:$A$21,0)),1,0):INDEX(E$2:E$21,MATCH($A38,$A$2:$A$21,0)))</f>
        <v>390</v>
      </c>
      <c r="F38" s="1">
        <f ca="1">SUM(OFFSET(INDEX(F$2:F$21,MATCH($A37,$A$2:$A$21,0)),1,0):INDEX(F$2:F$21,MATCH($A38,$A$2:$A$21,0)))</f>
        <v>310</v>
      </c>
      <c r="G38" s="1">
        <f ca="1">SUM(OFFSET(INDEX(G$2:G$21,MATCH($A37,$A$2:$A$21,0)),1,0):INDEX(G$2:G$21,MATCH($A38,$A$2:$A$21,0)))</f>
        <v>290</v>
      </c>
      <c r="H38" s="1">
        <f ca="1">SUM(OFFSET(INDEX(H$2:H$21,MATCH($A37,$A$2:$A$21,0)),1,0):INDEX(H$2:H$21,MATCH($A38,$A$2:$A$21,0)))</f>
        <v>0</v>
      </c>
      <c r="I38" s="1">
        <f ca="1">SUM(OFFSET(INDEX(I$2:I$21,MATCH($A37,$A$2:$A$21,0)),1,0):INDEX(I$2:I$21,MATCH($A38,$A$2:$A$21,0)))</f>
        <v>0</v>
      </c>
      <c r="J38" s="1">
        <f ca="1">SUM(OFFSET(INDEX(J$2:J$21,MATCH($A37,$A$2:$A$21,0)),1,0):INDEX(J$2:J$21,MATCH($A38,$A$2:$A$21,0)))</f>
        <v>0</v>
      </c>
      <c r="K38" s="1">
        <f ca="1">SUM(OFFSET(INDEX(K$2:K$21,MATCH($A37,$A$2:$A$21,0)),1,0):INDEX(K$2:K$21,MATCH($A38,$A$2:$A$21,0)))</f>
        <v>100</v>
      </c>
      <c r="L38" s="1">
        <f ca="1">SUM(OFFSET(INDEX(L$2:L$21,MATCH($A37,$A$2:$A$21,0)),1,0):INDEX(L$2:L$21,MATCH($A38,$A$2:$A$21,0)))</f>
        <v>120</v>
      </c>
    </row>
    <row r="39" spans="1:13">
      <c r="A39" s="1" t="s">
        <v>18</v>
      </c>
      <c r="B39" s="1">
        <f ca="1">SUM(OFFSET(INDEX(B$2:B$21,MATCH($A38,$A$2:$A$21,0)),1,0):INDEX(B$2:B$21,MATCH($A39,$A$2:$A$21,0)))</f>
        <v>130</v>
      </c>
      <c r="C39" s="1">
        <f ca="1">SUM(OFFSET(INDEX(C$2:C$21,MATCH($A38,$A$2:$A$21,0)),1,0):INDEX(C$2:C$21,MATCH($A39,$A$2:$A$21,0)))</f>
        <v>30</v>
      </c>
      <c r="D39" s="1">
        <f ca="1">SUM(OFFSET(INDEX(D$2:D$21,MATCH($A38,$A$2:$A$21,0)),1,0):INDEX(D$2:D$21,MATCH($A39,$A$2:$A$21,0)))</f>
        <v>30</v>
      </c>
      <c r="E39" s="1">
        <f ca="1">SUM(OFFSET(INDEX(E$2:E$21,MATCH($A38,$A$2:$A$21,0)),1,0):INDEX(E$2:E$21,MATCH($A39,$A$2:$A$21,0)))</f>
        <v>130</v>
      </c>
      <c r="F39" s="1">
        <f ca="1">SUM(OFFSET(INDEX(F$2:F$21,MATCH($A38,$A$2:$A$21,0)),1,0):INDEX(F$2:F$21,MATCH($A39,$A$2:$A$21,0)))</f>
        <v>50</v>
      </c>
      <c r="G39" s="1">
        <f ca="1">SUM(OFFSET(INDEX(G$2:G$21,MATCH($A38,$A$2:$A$21,0)),1,0):INDEX(G$2:G$21,MATCH($A39,$A$2:$A$21,0)))</f>
        <v>90</v>
      </c>
      <c r="H39" s="1">
        <f ca="1">SUM(OFFSET(INDEX(H$2:H$21,MATCH($A38,$A$2:$A$21,0)),1,0):INDEX(H$2:H$21,MATCH($A39,$A$2:$A$21,0)))</f>
        <v>0</v>
      </c>
      <c r="I39" s="1">
        <f ca="1">SUM(OFFSET(INDEX(I$2:I$21,MATCH($A38,$A$2:$A$21,0)),1,0):INDEX(I$2:I$21,MATCH($A39,$A$2:$A$21,0)))</f>
        <v>0</v>
      </c>
      <c r="J39" s="1">
        <f ca="1">SUM(OFFSET(INDEX(J$2:J$21,MATCH($A38,$A$2:$A$21,0)),1,0):INDEX(J$2:J$21,MATCH($A39,$A$2:$A$21,0)))</f>
        <v>0</v>
      </c>
      <c r="K39" s="1">
        <f ca="1">SUM(OFFSET(INDEX(K$2:K$21,MATCH($A38,$A$2:$A$21,0)),1,0):INDEX(K$2:K$21,MATCH($A39,$A$2:$A$21,0)))</f>
        <v>0</v>
      </c>
      <c r="L39" s="1">
        <f ca="1">SUM(OFFSET(INDEX(L$2:L$21,MATCH($A38,$A$2:$A$21,0)),1,0):INDEX(L$2:L$21,MATCH($A39,$A$2:$A$21,0)))</f>
        <v>0</v>
      </c>
    </row>
    <row r="40" spans="1:13">
      <c r="A40" s="1" t="s">
        <v>22</v>
      </c>
      <c r="B40" s="1">
        <f ca="1">SUM(OFFSET(INDEX(B$2:B$21,MATCH($A39,$A$2:$A$21,0)),1,0):INDEX(B$2:B$21,MATCH($A40,$A$2:$A$21,0)))</f>
        <v>250</v>
      </c>
      <c r="C40" s="1">
        <f ca="1">SUM(OFFSET(INDEX(C$2:C$21,MATCH($A39,$A$2:$A$21,0)),1,0):INDEX(C$2:C$21,MATCH($A40,$A$2:$A$21,0)))</f>
        <v>380</v>
      </c>
      <c r="D40" s="1">
        <f ca="1">SUM(OFFSET(INDEX(D$2:D$21,MATCH($A39,$A$2:$A$21,0)),1,0):INDEX(D$2:D$21,MATCH($A40,$A$2:$A$21,0)))</f>
        <v>380</v>
      </c>
      <c r="E40" s="1">
        <f ca="1">SUM(OFFSET(INDEX(E$2:E$21,MATCH($A39,$A$2:$A$21,0)),1,0):INDEX(E$2:E$21,MATCH($A40,$A$2:$A$21,0)))</f>
        <v>60</v>
      </c>
      <c r="F40" s="1">
        <f ca="1">SUM(OFFSET(INDEX(F$2:F$21,MATCH($A39,$A$2:$A$21,0)),1,0):INDEX(F$2:F$21,MATCH($A40,$A$2:$A$21,0)))</f>
        <v>180</v>
      </c>
      <c r="G40" s="1">
        <f ca="1">SUM(OFFSET(INDEX(G$2:G$21,MATCH($A39,$A$2:$A$21,0)),1,0):INDEX(G$2:G$21,MATCH($A40,$A$2:$A$21,0)))</f>
        <v>230</v>
      </c>
      <c r="H40" s="1">
        <f ca="1">SUM(OFFSET(INDEX(H$2:H$21,MATCH($A39,$A$2:$A$21,0)),1,0):INDEX(H$2:H$21,MATCH($A40,$A$2:$A$21,0)))</f>
        <v>0</v>
      </c>
      <c r="I40" s="1">
        <f ca="1">SUM(OFFSET(INDEX(I$2:I$21,MATCH($A39,$A$2:$A$21,0)),1,0):INDEX(I$2:I$21,MATCH($A40,$A$2:$A$21,0)))</f>
        <v>0</v>
      </c>
      <c r="J40" s="1">
        <f ca="1">SUM(OFFSET(INDEX(J$2:J$21,MATCH($A39,$A$2:$A$21,0)),1,0):INDEX(J$2:J$21,MATCH($A40,$A$2:$A$21,0)))</f>
        <v>0</v>
      </c>
      <c r="K40" s="1">
        <f ca="1">SUM(OFFSET(INDEX(K$2:K$21,MATCH($A39,$A$2:$A$21,0)),1,0):INDEX(K$2:K$21,MATCH($A40,$A$2:$A$21,0)))</f>
        <v>0</v>
      </c>
      <c r="L40" s="1">
        <f ca="1">SUM(OFFSET(INDEX(L$2:L$21,MATCH($A39,$A$2:$A$21,0)),1,0):INDEX(L$2:L$21,MATCH($A40,$A$2:$A$21,0)))</f>
        <v>0</v>
      </c>
    </row>
    <row r="41" spans="1:13">
      <c r="L41" s="1"/>
    </row>
    <row r="42" spans="1:13">
      <c r="A42" s="1" t="s">
        <v>23</v>
      </c>
      <c r="B42" s="1">
        <f ca="1">SUM(B34:B40)</f>
        <v>980</v>
      </c>
      <c r="C42" s="1">
        <f t="shared" ref="C42:D42" ca="1" si="8">SUM(C34:C40)</f>
        <v>1220</v>
      </c>
      <c r="D42" s="1">
        <f t="shared" ca="1" si="8"/>
        <v>1160</v>
      </c>
      <c r="E42" s="1">
        <f t="shared" ref="E42" ca="1" si="9">SUM(E34:E40)</f>
        <v>1100</v>
      </c>
      <c r="F42" s="1">
        <f t="shared" ref="F42" ca="1" si="10">SUM(F34:F40)</f>
        <v>960</v>
      </c>
      <c r="G42" s="1">
        <f t="shared" ref="G42" ca="1" si="11">SUM(G34:G40)</f>
        <v>950</v>
      </c>
      <c r="H42" s="1">
        <f t="shared" ref="H42:J42" ca="1" si="12">SUM(H34:H40)</f>
        <v>100</v>
      </c>
      <c r="I42" s="1">
        <f t="shared" ca="1" si="12"/>
        <v>100</v>
      </c>
      <c r="J42" s="1">
        <f t="shared" ca="1" si="12"/>
        <v>100</v>
      </c>
      <c r="K42" s="1">
        <f t="shared" ref="K42:L42" ca="1" si="13">SUM(K34:K40)</f>
        <v>100</v>
      </c>
      <c r="L42" s="1">
        <f t="shared" ca="1" si="13"/>
        <v>120</v>
      </c>
    </row>
    <row r="44" spans="1:13">
      <c r="A44" s="1" t="s">
        <v>38</v>
      </c>
      <c r="B44" s="1" t="b">
        <f t="shared" ref="B44:L44" si="14">ISTEXT(B31)</f>
        <v>0</v>
      </c>
      <c r="C44" s="1" t="b">
        <f t="shared" si="14"/>
        <v>0</v>
      </c>
      <c r="D44" s="1" t="b">
        <f t="shared" si="14"/>
        <v>1</v>
      </c>
      <c r="E44" s="1" t="b">
        <f t="shared" si="14"/>
        <v>0</v>
      </c>
      <c r="F44" s="1" t="b">
        <f t="shared" si="14"/>
        <v>1</v>
      </c>
      <c r="G44" s="1" t="b">
        <f t="shared" si="14"/>
        <v>1</v>
      </c>
      <c r="H44" s="1" t="b">
        <f t="shared" si="14"/>
        <v>0</v>
      </c>
      <c r="I44" s="1" t="b">
        <f t="shared" si="14"/>
        <v>1</v>
      </c>
      <c r="J44" s="1" t="b">
        <f t="shared" si="14"/>
        <v>1</v>
      </c>
      <c r="K44" s="1" t="b">
        <f t="shared" si="14"/>
        <v>1</v>
      </c>
      <c r="L44" s="1" t="b">
        <f t="shared" si="14"/>
        <v>1</v>
      </c>
    </row>
    <row r="45" spans="1:13">
      <c r="A45" s="1" t="s">
        <v>39</v>
      </c>
      <c r="B45" s="1">
        <f>COLUMN(B31)</f>
        <v>2</v>
      </c>
      <c r="C45" s="1">
        <f t="shared" ref="C45:L45" si="15">COLUMN(C31)</f>
        <v>3</v>
      </c>
      <c r="D45" s="1">
        <f t="shared" si="15"/>
        <v>4</v>
      </c>
      <c r="E45" s="1">
        <f t="shared" si="15"/>
        <v>5</v>
      </c>
      <c r="F45" s="1">
        <f t="shared" si="15"/>
        <v>6</v>
      </c>
      <c r="G45" s="1">
        <f t="shared" si="15"/>
        <v>7</v>
      </c>
      <c r="H45" s="1">
        <f t="shared" si="15"/>
        <v>8</v>
      </c>
      <c r="I45" s="1">
        <f t="shared" si="15"/>
        <v>9</v>
      </c>
      <c r="J45" s="1">
        <f t="shared" si="15"/>
        <v>10</v>
      </c>
      <c r="K45" s="1">
        <f t="shared" si="15"/>
        <v>11</v>
      </c>
      <c r="L45" s="1">
        <f t="shared" si="15"/>
        <v>12</v>
      </c>
    </row>
    <row r="46" spans="1:13">
      <c r="A46" s="1" t="s">
        <v>40</v>
      </c>
      <c r="B46" s="1" t="str">
        <f>IF(B44=TRUE,B45,"")</f>
        <v/>
      </c>
      <c r="C46" s="1" t="str">
        <f t="shared" ref="C46:L46" si="16">IF(C44=TRUE,C45,"")</f>
        <v/>
      </c>
      <c r="D46" s="1">
        <f t="shared" si="16"/>
        <v>4</v>
      </c>
      <c r="E46" s="1" t="str">
        <f t="shared" si="16"/>
        <v/>
      </c>
      <c r="F46" s="1">
        <f t="shared" si="16"/>
        <v>6</v>
      </c>
      <c r="G46" s="1">
        <f t="shared" si="16"/>
        <v>7</v>
      </c>
      <c r="H46" s="1" t="str">
        <f t="shared" si="16"/>
        <v/>
      </c>
      <c r="I46" s="1">
        <f t="shared" si="16"/>
        <v>9</v>
      </c>
      <c r="J46" s="1">
        <f t="shared" si="16"/>
        <v>10</v>
      </c>
      <c r="K46" s="1">
        <f t="shared" si="16"/>
        <v>11</v>
      </c>
      <c r="L46" s="1">
        <f t="shared" si="16"/>
        <v>12</v>
      </c>
    </row>
    <row r="47" spans="1:13">
      <c r="A47" s="1" t="s">
        <v>41</v>
      </c>
      <c r="B47" s="1">
        <f>SMALL($A$46:$K$46,COLUMN(A46))</f>
        <v>4</v>
      </c>
      <c r="C47" s="1">
        <f t="shared" ref="C47:L47" si="17">SMALL($B$46:$L$46,COLUMN(B46))</f>
        <v>6</v>
      </c>
      <c r="D47" s="1">
        <f t="shared" si="17"/>
        <v>7</v>
      </c>
      <c r="E47" s="1">
        <f t="shared" si="17"/>
        <v>9</v>
      </c>
      <c r="F47" s="1">
        <f t="shared" si="17"/>
        <v>10</v>
      </c>
      <c r="G47" s="1">
        <f t="shared" si="17"/>
        <v>11</v>
      </c>
      <c r="H47" s="1">
        <f t="shared" si="17"/>
        <v>12</v>
      </c>
      <c r="I47" s="1" t="e">
        <f t="shared" si="17"/>
        <v>#NUM!</v>
      </c>
      <c r="J47" s="1" t="e">
        <f t="shared" si="17"/>
        <v>#NUM!</v>
      </c>
      <c r="K47" s="1" t="e">
        <f t="shared" si="17"/>
        <v>#NUM!</v>
      </c>
      <c r="L47" s="1" t="e">
        <f t="shared" si="17"/>
        <v>#NUM!</v>
      </c>
    </row>
    <row r="48" spans="1:13">
      <c r="A48" s="1" t="s">
        <v>0</v>
      </c>
      <c r="K48" s="1" t="e">
        <f t="shared" ref="K48:L48" si="18">INDEX($A$32:$L$32,K47)</f>
        <v>#NUM!</v>
      </c>
      <c r="L48" s="1" t="e">
        <f t="shared" si="18"/>
        <v>#NUM!</v>
      </c>
      <c r="M48" s="1"/>
    </row>
    <row r="49" spans="1:4">
      <c r="A49" s="1" t="s">
        <v>4</v>
      </c>
    </row>
    <row r="50" spans="1:4">
      <c r="A50" s="1" t="s">
        <v>6</v>
      </c>
    </row>
    <row r="51" spans="1:4">
      <c r="A51" s="1" t="s">
        <v>7</v>
      </c>
    </row>
    <row r="52" spans="1:4">
      <c r="A52" s="1" t="s">
        <v>2</v>
      </c>
    </row>
    <row r="53" spans="1:4">
      <c r="A53" s="1" t="s">
        <v>16</v>
      </c>
    </row>
    <row r="54" spans="1:4">
      <c r="A54" s="1" t="s">
        <v>18</v>
      </c>
      <c r="D54" s="3" t="s">
        <v>42</v>
      </c>
    </row>
    <row r="55" spans="1:4">
      <c r="A55" s="1" t="s">
        <v>22</v>
      </c>
      <c r="D55" s="1" t="s">
        <v>42</v>
      </c>
    </row>
    <row r="56" spans="1:4">
      <c r="D56" s="1" t="s">
        <v>42</v>
      </c>
    </row>
    <row r="57" spans="1:4">
      <c r="A57" s="1" t="s">
        <v>23</v>
      </c>
      <c r="D57" s="1" t="s">
        <v>42</v>
      </c>
    </row>
    <row r="58" spans="1:4">
      <c r="D58" s="1" t="s">
        <v>42</v>
      </c>
    </row>
    <row r="59" spans="1:4">
      <c r="D59" s="1" t="s">
        <v>42</v>
      </c>
    </row>
    <row r="60" spans="1:4">
      <c r="D60" s="1" t="s">
        <v>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C5FEE-BCC3-4F91-BE14-95D06835EA71}">
  <sheetPr codeName="Sheet2"/>
  <dimension ref="D1:AI65"/>
  <sheetViews>
    <sheetView tabSelected="1" topLeftCell="L1" workbookViewId="0">
      <selection activeCell="Q3" sqref="Q3:Y7"/>
    </sheetView>
  </sheetViews>
  <sheetFormatPr defaultRowHeight="15"/>
  <cols>
    <col min="4" max="4" width="19.85546875" customWidth="1"/>
    <col min="7" max="7" width="11.140625" customWidth="1"/>
    <col min="16" max="16" width="9.7109375" bestFit="1" customWidth="1"/>
    <col min="32" max="32" width="53.140625" customWidth="1"/>
  </cols>
  <sheetData>
    <row r="1" spans="4:35">
      <c r="P1" t="s">
        <v>48</v>
      </c>
      <c r="Q1" s="11" t="s">
        <v>43</v>
      </c>
      <c r="R1" s="11" t="s">
        <v>43</v>
      </c>
      <c r="S1" s="11" t="s">
        <v>43</v>
      </c>
      <c r="T1" s="11" t="s">
        <v>43</v>
      </c>
      <c r="U1" s="11" t="s">
        <v>43</v>
      </c>
      <c r="V1" s="11" t="s">
        <v>43</v>
      </c>
      <c r="W1" s="11" t="s">
        <v>43</v>
      </c>
      <c r="X1" s="11" t="s">
        <v>43</v>
      </c>
      <c r="Y1" s="11" t="s">
        <v>44</v>
      </c>
      <c r="Z1" s="11" t="s">
        <v>44</v>
      </c>
      <c r="AA1" s="11" t="s">
        <v>44</v>
      </c>
      <c r="AB1" s="11" t="s">
        <v>44</v>
      </c>
    </row>
    <row r="2" spans="4:35">
      <c r="P2" s="9" t="s">
        <v>47</v>
      </c>
      <c r="Q2" s="11" t="s">
        <v>1</v>
      </c>
      <c r="R2" s="11" t="s">
        <v>2</v>
      </c>
      <c r="S2" s="11" t="s">
        <v>3</v>
      </c>
      <c r="T2" s="11" t="s">
        <v>24</v>
      </c>
      <c r="U2" s="11" t="s">
        <v>25</v>
      </c>
      <c r="V2" s="11" t="s">
        <v>26</v>
      </c>
      <c r="W2" s="11" t="s">
        <v>7</v>
      </c>
      <c r="X2" s="11" t="s">
        <v>45</v>
      </c>
      <c r="Y2" s="11" t="s">
        <v>45</v>
      </c>
      <c r="Z2" s="11" t="s">
        <v>45</v>
      </c>
      <c r="AA2" s="11" t="s">
        <v>45</v>
      </c>
      <c r="AB2" s="11" t="s">
        <v>45</v>
      </c>
    </row>
    <row r="3" spans="4:35" ht="30.75" customHeight="1">
      <c r="P3" s="10">
        <v>44070</v>
      </c>
      <c r="Q3" s="12">
        <v>300</v>
      </c>
      <c r="R3" s="12">
        <v>1000</v>
      </c>
      <c r="S3" s="12">
        <v>1000</v>
      </c>
      <c r="T3" s="12">
        <v>1000</v>
      </c>
      <c r="U3" s="12">
        <v>600</v>
      </c>
      <c r="V3" s="12">
        <v>400</v>
      </c>
      <c r="W3" s="12">
        <v>1000</v>
      </c>
      <c r="X3" s="12">
        <v>600</v>
      </c>
      <c r="Y3" s="12"/>
      <c r="Z3" s="12"/>
      <c r="AA3" s="12"/>
      <c r="AB3" s="12"/>
      <c r="AF3" t="s">
        <v>49</v>
      </c>
    </row>
    <row r="4" spans="4:35" ht="30.75" customHeight="1">
      <c r="F4" s="5"/>
      <c r="P4" s="10">
        <v>44071</v>
      </c>
      <c r="Q4" s="12"/>
      <c r="R4" s="12">
        <v>1000</v>
      </c>
      <c r="S4" s="12">
        <v>1000</v>
      </c>
      <c r="T4" s="12">
        <v>600</v>
      </c>
      <c r="U4" s="12"/>
      <c r="V4" s="12"/>
      <c r="W4" s="12">
        <v>1000</v>
      </c>
      <c r="X4" s="12"/>
      <c r="Y4" s="12"/>
      <c r="Z4" s="12"/>
      <c r="AA4" s="12"/>
      <c r="AB4" s="12"/>
      <c r="AF4" t="s">
        <v>50</v>
      </c>
      <c r="AI4" t="s">
        <v>59</v>
      </c>
    </row>
    <row r="5" spans="4:35" ht="30.75" customHeight="1">
      <c r="F5" s="5"/>
      <c r="P5" s="10">
        <v>44072</v>
      </c>
      <c r="Q5" s="12"/>
      <c r="R5" s="12">
        <v>1000</v>
      </c>
      <c r="S5" s="12">
        <v>400</v>
      </c>
      <c r="T5" s="12"/>
      <c r="U5" s="12"/>
      <c r="V5" s="12"/>
      <c r="W5" s="12"/>
      <c r="X5" s="12"/>
      <c r="Y5" s="12"/>
      <c r="Z5" s="12">
        <v>348</v>
      </c>
      <c r="AA5" s="12"/>
      <c r="AB5" s="12"/>
      <c r="AE5" t="s">
        <v>51</v>
      </c>
      <c r="AF5" s="13" t="s">
        <v>57</v>
      </c>
    </row>
    <row r="6" spans="4:35" ht="30.75" customHeight="1">
      <c r="D6" s="4"/>
      <c r="F6" s="5"/>
      <c r="P6" s="10">
        <v>44073</v>
      </c>
      <c r="Q6" s="12"/>
      <c r="R6" s="12">
        <v>600</v>
      </c>
      <c r="S6" s="12"/>
      <c r="T6" s="12"/>
      <c r="U6" s="12"/>
      <c r="V6" s="12"/>
      <c r="W6" s="12"/>
      <c r="X6" s="12"/>
      <c r="Y6" s="12"/>
      <c r="Z6" s="12">
        <v>1000</v>
      </c>
      <c r="AA6" s="12"/>
      <c r="AB6" s="12"/>
      <c r="AE6" t="s">
        <v>52</v>
      </c>
      <c r="AF6" s="13" t="s">
        <v>58</v>
      </c>
    </row>
    <row r="7" spans="4:35" ht="30.75" customHeight="1">
      <c r="D7" s="4"/>
      <c r="F7" s="5"/>
      <c r="P7" s="10">
        <v>44074</v>
      </c>
      <c r="Q7" s="12"/>
      <c r="R7" s="12"/>
      <c r="S7" s="12"/>
      <c r="T7" s="12"/>
      <c r="U7" s="12"/>
      <c r="V7" s="12"/>
      <c r="W7" s="12"/>
      <c r="X7" s="12"/>
      <c r="Y7" s="12"/>
      <c r="Z7" s="12">
        <v>402</v>
      </c>
      <c r="AA7" s="12">
        <v>598</v>
      </c>
      <c r="AB7" s="12"/>
      <c r="AE7" t="s">
        <v>53</v>
      </c>
    </row>
    <row r="8" spans="4:35" ht="30.75" customHeight="1">
      <c r="D8" s="4"/>
      <c r="F8" s="5"/>
      <c r="P8" s="10">
        <v>44075</v>
      </c>
      <c r="Q8" s="12"/>
      <c r="R8" s="12"/>
      <c r="S8" s="12"/>
      <c r="T8" s="12"/>
      <c r="U8" s="12"/>
      <c r="V8" s="12"/>
      <c r="W8" s="12"/>
      <c r="X8" s="12"/>
      <c r="Y8" s="12"/>
      <c r="Z8" s="12"/>
      <c r="AA8" s="12">
        <v>1000</v>
      </c>
      <c r="AB8" s="12"/>
      <c r="AE8" t="s">
        <v>54</v>
      </c>
    </row>
    <row r="9" spans="4:35" ht="30.75" customHeight="1">
      <c r="D9" s="4"/>
      <c r="F9" s="5"/>
      <c r="P9" s="10">
        <v>44076</v>
      </c>
      <c r="Q9" s="12"/>
      <c r="R9" s="12"/>
      <c r="S9" s="12"/>
      <c r="T9" s="12"/>
      <c r="U9" s="12"/>
      <c r="V9" s="12"/>
      <c r="W9" s="12"/>
      <c r="X9" s="12"/>
      <c r="Y9" s="12"/>
      <c r="Z9" s="12"/>
      <c r="AA9" s="12">
        <v>1000</v>
      </c>
      <c r="AB9" s="12"/>
      <c r="AE9" t="s">
        <v>55</v>
      </c>
    </row>
    <row r="10" spans="4:35" ht="30.75" customHeight="1">
      <c r="D10" s="4"/>
      <c r="F10" s="5"/>
      <c r="P10" s="10">
        <v>44077</v>
      </c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>
        <v>802</v>
      </c>
      <c r="AB10" s="12">
        <v>198</v>
      </c>
      <c r="AE10" t="s">
        <v>56</v>
      </c>
    </row>
    <row r="11" spans="4:35" ht="30.75" customHeight="1">
      <c r="D11" s="4"/>
      <c r="F11" s="5"/>
      <c r="P11" s="10">
        <v>44078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>
        <v>1000</v>
      </c>
    </row>
    <row r="12" spans="4:35" ht="30.75" customHeight="1">
      <c r="D12" s="4"/>
      <c r="F12" s="5"/>
      <c r="P12" s="10">
        <v>44079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>
        <v>1000</v>
      </c>
    </row>
    <row r="13" spans="4:35" ht="30.75" customHeight="1">
      <c r="D13" s="4"/>
      <c r="F13" s="5"/>
      <c r="P13" s="10">
        <v>44080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>
        <v>1000</v>
      </c>
    </row>
    <row r="14" spans="4:35">
      <c r="D14" s="4"/>
      <c r="F14" s="5"/>
      <c r="P14" s="9" t="s">
        <v>46</v>
      </c>
      <c r="Q14" s="12">
        <v>300</v>
      </c>
      <c r="R14" s="12">
        <v>3600</v>
      </c>
      <c r="S14" s="12">
        <v>2400</v>
      </c>
      <c r="T14" s="12">
        <v>1600</v>
      </c>
      <c r="U14" s="12">
        <v>600</v>
      </c>
      <c r="V14" s="12">
        <v>400</v>
      </c>
      <c r="W14" s="12">
        <v>2000</v>
      </c>
      <c r="X14" s="12">
        <v>600</v>
      </c>
      <c r="Y14" s="12">
        <v>2652</v>
      </c>
      <c r="Z14" s="12">
        <v>1750</v>
      </c>
      <c r="AA14" s="12">
        <v>3400</v>
      </c>
      <c r="AB14" s="12">
        <v>5400</v>
      </c>
    </row>
    <row r="15" spans="4:35">
      <c r="D15" s="4"/>
      <c r="F15" s="5"/>
    </row>
    <row r="16" spans="4:35">
      <c r="F16" s="5"/>
    </row>
    <row r="21" spans="6:7">
      <c r="F21" s="5"/>
      <c r="G21" s="6"/>
    </row>
    <row r="22" spans="6:7">
      <c r="F22" s="5"/>
      <c r="G22" s="7"/>
    </row>
    <row r="23" spans="6:7">
      <c r="F23" s="5"/>
      <c r="G23" s="6"/>
    </row>
    <row r="24" spans="6:7">
      <c r="F24" s="5"/>
      <c r="G24" s="6"/>
    </row>
    <row r="25" spans="6:7">
      <c r="F25" s="5"/>
      <c r="G25" s="7"/>
    </row>
    <row r="26" spans="6:7">
      <c r="F26" s="5"/>
      <c r="G26" s="6"/>
    </row>
    <row r="27" spans="6:7">
      <c r="F27" s="5"/>
      <c r="G27" s="6"/>
    </row>
    <row r="28" spans="6:7">
      <c r="F28" s="5"/>
      <c r="G28" s="6"/>
    </row>
    <row r="29" spans="6:7">
      <c r="F29" s="5"/>
      <c r="G29" s="8"/>
    </row>
    <row r="30" spans="6:7">
      <c r="G30" s="8"/>
    </row>
    <row r="59" spans="4:4">
      <c r="D59" t="s">
        <v>42</v>
      </c>
    </row>
    <row r="60" spans="4:4">
      <c r="D60" t="s">
        <v>42</v>
      </c>
    </row>
    <row r="61" spans="4:4">
      <c r="D61" t="s">
        <v>42</v>
      </c>
    </row>
    <row r="62" spans="4:4">
      <c r="D62" t="s">
        <v>42</v>
      </c>
    </row>
    <row r="63" spans="4:4">
      <c r="D63" t="s">
        <v>42</v>
      </c>
    </row>
    <row r="64" spans="4:4">
      <c r="D64" t="s">
        <v>42</v>
      </c>
    </row>
    <row r="65" spans="4:4">
      <c r="D65" t="s">
        <v>42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2020-05-14T16:05:32Z</dcterms:created>
  <dcterms:modified xsi:type="dcterms:W3CDTF">2020-08-27T16:38:10Z</dcterms:modified>
</cp:coreProperties>
</file>