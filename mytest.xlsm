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Google 雲端硬碟\"/>
    </mc:Choice>
  </mc:AlternateContent>
  <xr:revisionPtr revIDLastSave="0" documentId="13_ncr:1_{128D6FCB-391E-47C5-B857-AEFE8463AC6A}" xr6:coauthVersionLast="44" xr6:coauthVersionMax="44" xr10:uidLastSave="{00000000-0000-0000-0000-000000000000}"/>
  <bookViews>
    <workbookView xWindow="-120" yWindow="-120" windowWidth="29040" windowHeight="15840" activeTab="1" xr2:uid="{A6FD9A08-CC57-4308-B4BF-E2BFDB161A85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4" i="2" l="1"/>
  <c r="T3" i="2"/>
  <c r="C16" i="2"/>
  <c r="B16" i="2"/>
  <c r="C15" i="2"/>
  <c r="B15" i="2"/>
  <c r="D14" i="2"/>
  <c r="C14" i="2"/>
  <c r="B14" i="2"/>
  <c r="D13" i="2"/>
  <c r="C13" i="2"/>
  <c r="B12" i="2"/>
  <c r="B13" i="2"/>
  <c r="T5" i="2"/>
  <c r="S14" i="2"/>
  <c r="U3" i="2"/>
  <c r="U4" i="2"/>
  <c r="U5" i="2"/>
  <c r="T6" i="2"/>
  <c r="T7" i="2"/>
  <c r="T8" i="2"/>
  <c r="T9" i="2"/>
  <c r="T10" i="2"/>
  <c r="H9" i="2"/>
  <c r="H8" i="2"/>
  <c r="H7" i="2"/>
  <c r="H6" i="2"/>
  <c r="H5" i="2"/>
  <c r="H11" i="2"/>
  <c r="H10" i="2"/>
  <c r="B45" i="1" l="1"/>
  <c r="L31" i="1"/>
  <c r="L44" i="1" s="1"/>
  <c r="K31" i="1"/>
  <c r="K44" i="1" s="1"/>
  <c r="J31" i="1"/>
  <c r="I31" i="1"/>
  <c r="H31" i="1"/>
  <c r="G31" i="1"/>
  <c r="F31" i="1"/>
  <c r="F44" i="1" s="1"/>
  <c r="E31" i="1"/>
  <c r="E44" i="1" s="1"/>
  <c r="D31" i="1"/>
  <c r="D44" i="1" s="1"/>
  <c r="C31" i="1"/>
  <c r="C44" i="1" s="1"/>
  <c r="B31" i="1"/>
  <c r="B44" i="1" s="1"/>
  <c r="B46" i="1" s="1"/>
  <c r="G44" i="1"/>
  <c r="H44" i="1"/>
  <c r="I44" i="1"/>
  <c r="J44" i="1"/>
  <c r="C45" i="1" l="1"/>
  <c r="D45" i="1"/>
  <c r="E45" i="1"/>
  <c r="F45" i="1"/>
  <c r="G45" i="1"/>
  <c r="H45" i="1"/>
  <c r="I45" i="1"/>
  <c r="I46" i="1" s="1"/>
  <c r="J45" i="1"/>
  <c r="J46" i="1" s="1"/>
  <c r="K45" i="1"/>
  <c r="K46" i="1" s="1"/>
  <c r="L45" i="1"/>
  <c r="L46" i="1" s="1"/>
  <c r="H46" i="1"/>
  <c r="D6" i="2"/>
  <c r="D16" i="2" s="1"/>
  <c r="E6" i="2"/>
  <c r="F6" i="2"/>
  <c r="L6" i="2"/>
  <c r="C7" i="2"/>
  <c r="E7" i="2"/>
  <c r="F7" i="2"/>
  <c r="L7" i="2"/>
  <c r="C8" i="2"/>
  <c r="E8" i="2"/>
  <c r="F8" i="2"/>
  <c r="L8" i="2"/>
  <c r="C9" i="2"/>
  <c r="F9" i="2"/>
  <c r="L9" i="2"/>
  <c r="C10" i="2"/>
  <c r="D10" i="2"/>
  <c r="F10" i="2"/>
  <c r="L10" i="2"/>
  <c r="C11" i="2"/>
  <c r="D11" i="2"/>
  <c r="E11" i="2"/>
  <c r="L11" i="2"/>
  <c r="C12" i="2"/>
  <c r="D12" i="2"/>
  <c r="E12" i="2"/>
  <c r="F12" i="2"/>
  <c r="G12" i="2"/>
  <c r="H12" i="2"/>
  <c r="L12" i="2"/>
  <c r="E13" i="2"/>
  <c r="F13" i="2"/>
  <c r="G13" i="2"/>
  <c r="H13" i="2"/>
  <c r="L13" i="2"/>
  <c r="E14" i="2"/>
  <c r="F14" i="2"/>
  <c r="G14" i="2"/>
  <c r="H14" i="2"/>
  <c r="L14" i="2"/>
  <c r="E15" i="2"/>
  <c r="F15" i="2"/>
  <c r="G15" i="2"/>
  <c r="H15" i="2"/>
  <c r="L15" i="2"/>
  <c r="E16" i="2"/>
  <c r="F16" i="2"/>
  <c r="G16" i="2"/>
  <c r="H16" i="2"/>
  <c r="L16" i="2"/>
  <c r="C17" i="2"/>
  <c r="D17" i="2"/>
  <c r="E17" i="2"/>
  <c r="F17" i="2"/>
  <c r="G17" i="2"/>
  <c r="H17" i="2"/>
  <c r="L17" i="2"/>
  <c r="C18" i="2"/>
  <c r="D18" i="2"/>
  <c r="E18" i="2"/>
  <c r="F18" i="2"/>
  <c r="G18" i="2"/>
  <c r="H18" i="2"/>
  <c r="L18" i="2"/>
  <c r="D15" i="2"/>
  <c r="E5" i="2"/>
  <c r="F5" i="2"/>
  <c r="L5" i="2"/>
  <c r="B34" i="1"/>
  <c r="C34" i="1"/>
  <c r="B32" i="1"/>
  <c r="H27" i="1"/>
  <c r="I27" i="1"/>
  <c r="J27" i="1"/>
  <c r="K27" i="1"/>
  <c r="L27" i="1"/>
  <c r="I32" i="1"/>
  <c r="J32" i="1"/>
  <c r="K32" i="1"/>
  <c r="L32" i="1"/>
  <c r="C32" i="1"/>
  <c r="B29" i="1" s="1"/>
  <c r="D32" i="1"/>
  <c r="E32" i="1"/>
  <c r="F32" i="1"/>
  <c r="G32" i="1"/>
  <c r="G27" i="1" s="1"/>
  <c r="H32" i="1"/>
  <c r="L40" i="1"/>
  <c r="L39" i="1"/>
  <c r="L38" i="1"/>
  <c r="L37" i="1"/>
  <c r="L36" i="1"/>
  <c r="L35" i="1"/>
  <c r="L34" i="1"/>
  <c r="I40" i="1"/>
  <c r="I39" i="1"/>
  <c r="I38" i="1"/>
  <c r="I37" i="1"/>
  <c r="I36" i="1"/>
  <c r="I35" i="1"/>
  <c r="I34" i="1"/>
  <c r="H40" i="1"/>
  <c r="H39" i="1"/>
  <c r="H38" i="1"/>
  <c r="H37" i="1"/>
  <c r="H36" i="1"/>
  <c r="H35" i="1"/>
  <c r="H34" i="1"/>
  <c r="K40" i="1"/>
  <c r="J40" i="1"/>
  <c r="G40" i="1"/>
  <c r="F40" i="1"/>
  <c r="E40" i="1"/>
  <c r="D40" i="1"/>
  <c r="C40" i="1"/>
  <c r="K39" i="1"/>
  <c r="J39" i="1"/>
  <c r="G39" i="1"/>
  <c r="F39" i="1"/>
  <c r="E39" i="1"/>
  <c r="D39" i="1"/>
  <c r="C39" i="1"/>
  <c r="K38" i="1"/>
  <c r="J38" i="1"/>
  <c r="G38" i="1"/>
  <c r="F38" i="1"/>
  <c r="E38" i="1"/>
  <c r="D38" i="1"/>
  <c r="C38" i="1"/>
  <c r="K37" i="1"/>
  <c r="J37" i="1"/>
  <c r="G37" i="1"/>
  <c r="F37" i="1"/>
  <c r="E37" i="1"/>
  <c r="D37" i="1"/>
  <c r="C37" i="1"/>
  <c r="K36" i="1"/>
  <c r="J36" i="1"/>
  <c r="G36" i="1"/>
  <c r="F36" i="1"/>
  <c r="E36" i="1"/>
  <c r="D36" i="1"/>
  <c r="C36" i="1"/>
  <c r="K35" i="1"/>
  <c r="J35" i="1"/>
  <c r="G35" i="1"/>
  <c r="F35" i="1"/>
  <c r="E35" i="1"/>
  <c r="D35" i="1"/>
  <c r="C35" i="1"/>
  <c r="K34" i="1"/>
  <c r="J34" i="1"/>
  <c r="G34" i="1"/>
  <c r="F34" i="1"/>
  <c r="E34" i="1"/>
  <c r="D34" i="1"/>
  <c r="B40" i="1"/>
  <c r="B39" i="1"/>
  <c r="B38" i="1"/>
  <c r="B37" i="1"/>
  <c r="B36" i="1"/>
  <c r="B35" i="1"/>
  <c r="D46" i="1" l="1"/>
  <c r="E46" i="1"/>
  <c r="B30" i="1"/>
  <c r="G30" i="1"/>
  <c r="F30" i="1"/>
  <c r="E30" i="1"/>
  <c r="C30" i="1"/>
  <c r="J30" i="1"/>
  <c r="J26" i="1"/>
  <c r="I30" i="1"/>
  <c r="H30" i="1"/>
  <c r="L30" i="1"/>
  <c r="D30" i="1"/>
  <c r="K30" i="1"/>
  <c r="E24" i="1"/>
  <c r="E29" i="1"/>
  <c r="L28" i="1"/>
  <c r="G29" i="1"/>
  <c r="H29" i="1"/>
  <c r="F29" i="1"/>
  <c r="I29" i="1"/>
  <c r="J29" i="1"/>
  <c r="C29" i="1"/>
  <c r="K29" i="1"/>
  <c r="F24" i="1"/>
  <c r="D29" i="1"/>
  <c r="L29" i="1"/>
  <c r="H24" i="1"/>
  <c r="E28" i="1"/>
  <c r="I24" i="1"/>
  <c r="F28" i="1"/>
  <c r="B24" i="1"/>
  <c r="J24" i="1"/>
  <c r="G28" i="1"/>
  <c r="C24" i="1"/>
  <c r="K24" i="1"/>
  <c r="H28" i="1"/>
  <c r="D24" i="1"/>
  <c r="L24" i="1"/>
  <c r="I28" i="1"/>
  <c r="B28" i="1"/>
  <c r="J28" i="1"/>
  <c r="C28" i="1"/>
  <c r="K28" i="1"/>
  <c r="G24" i="1"/>
  <c r="D28" i="1"/>
  <c r="B26" i="1"/>
  <c r="E25" i="1" s="1"/>
  <c r="H26" i="1"/>
  <c r="F26" i="1"/>
  <c r="I26" i="1"/>
  <c r="E26" i="1"/>
  <c r="C26" i="1"/>
  <c r="K26" i="1"/>
  <c r="D26" i="1"/>
  <c r="L26" i="1"/>
  <c r="G26" i="1"/>
  <c r="F27" i="1"/>
  <c r="E27" i="1"/>
  <c r="D27" i="1"/>
  <c r="C27" i="1"/>
  <c r="B27" i="1"/>
  <c r="L42" i="1"/>
  <c r="I42" i="1"/>
  <c r="H42" i="1"/>
  <c r="D42" i="1"/>
  <c r="C42" i="1"/>
  <c r="J42" i="1"/>
  <c r="G42" i="1"/>
  <c r="K42" i="1"/>
  <c r="E42" i="1"/>
  <c r="F42" i="1"/>
  <c r="B42" i="1"/>
  <c r="F46" i="1" l="1"/>
  <c r="H25" i="1"/>
  <c r="C46" i="1"/>
  <c r="G46" i="1"/>
  <c r="K25" i="1"/>
  <c r="F25" i="1"/>
  <c r="C25" i="1"/>
  <c r="J25" i="1"/>
  <c r="D25" i="1"/>
  <c r="G25" i="1"/>
  <c r="L25" i="1"/>
  <c r="I25" i="1"/>
  <c r="B25" i="1"/>
  <c r="B47" i="1" l="1"/>
  <c r="G47" i="1"/>
  <c r="C47" i="1"/>
  <c r="H47" i="1"/>
  <c r="K47" i="1"/>
  <c r="I47" i="1"/>
  <c r="D47" i="1"/>
  <c r="L47" i="1"/>
  <c r="J47" i="1"/>
  <c r="E47" i="1"/>
  <c r="F47" i="1"/>
  <c r="L48" i="1"/>
  <c r="K48" i="1"/>
  <c r="J15" i="2"/>
  <c r="J13" i="2"/>
  <c r="J17" i="2"/>
  <c r="J6" i="2"/>
  <c r="J5" i="2"/>
  <c r="J9" i="2"/>
  <c r="J14" i="2"/>
  <c r="J16" i="2"/>
  <c r="J4" i="2"/>
  <c r="J18" i="2"/>
  <c r="J3" i="2"/>
  <c r="J12" i="2"/>
  <c r="K6" i="2"/>
  <c r="K14" i="2"/>
  <c r="K13" i="2"/>
  <c r="K16" i="2"/>
  <c r="K12" i="2"/>
  <c r="K8" i="2"/>
  <c r="K7" i="2"/>
  <c r="K17" i="2"/>
  <c r="K18" i="2"/>
  <c r="K4" i="2"/>
  <c r="K15" i="2"/>
  <c r="K3" i="2"/>
  <c r="K5" i="2"/>
  <c r="I15" i="2"/>
  <c r="I13" i="2"/>
  <c r="I12" i="2"/>
  <c r="I10" i="2"/>
  <c r="I11" i="2"/>
  <c r="I16" i="2"/>
  <c r="I14" i="2"/>
  <c r="I4" i="2"/>
  <c r="I8" i="2"/>
  <c r="I17" i="2"/>
  <c r="I9" i="2"/>
  <c r="I3" i="2"/>
  <c r="I18" i="2"/>
</calcChain>
</file>

<file path=xl/sharedStrings.xml><?xml version="1.0" encoding="utf-8"?>
<sst xmlns="http://schemas.openxmlformats.org/spreadsheetml/2006/main" count="113" uniqueCount="61">
  <si>
    <t>MODLE</t>
  </si>
  <si>
    <t>A</t>
  </si>
  <si>
    <t>B</t>
  </si>
  <si>
    <t>C</t>
  </si>
  <si>
    <t>BM</t>
  </si>
  <si>
    <t>BM-TTP</t>
  </si>
  <si>
    <t>R</t>
  </si>
  <si>
    <t>G</t>
  </si>
  <si>
    <t>R-MQC1</t>
  </si>
  <si>
    <t>G-MQC1</t>
  </si>
  <si>
    <t>G-MQC2</t>
  </si>
  <si>
    <t>B-MQC1</t>
  </si>
  <si>
    <t>B-MQC2</t>
  </si>
  <si>
    <t>B-Repair</t>
  </si>
  <si>
    <t>ITO</t>
  </si>
  <si>
    <t>ITO-MQC</t>
  </si>
  <si>
    <t>OC</t>
  </si>
  <si>
    <t>OC-MQC</t>
  </si>
  <si>
    <t>PS</t>
  </si>
  <si>
    <t>PS-MQC</t>
  </si>
  <si>
    <t>PS-Repair</t>
  </si>
  <si>
    <t>FI</t>
  </si>
  <si>
    <t>STK-IN</t>
  </si>
  <si>
    <t>Total</t>
  </si>
  <si>
    <t>D</t>
  </si>
  <si>
    <t>E</t>
  </si>
  <si>
    <t>F</t>
  </si>
  <si>
    <t>A-1</t>
  </si>
  <si>
    <t>B-1</t>
  </si>
  <si>
    <t>A-2</t>
  </si>
  <si>
    <t>A-3</t>
  </si>
  <si>
    <t>T</t>
  </si>
  <si>
    <t>AA-2</t>
  </si>
  <si>
    <t>helper</t>
  </si>
  <si>
    <t xml:space="preserve">Sequence </t>
  </si>
  <si>
    <t>Sorted</t>
  </si>
  <si>
    <t>Duplicate</t>
  </si>
  <si>
    <t>make duplicate become blank</t>
  </si>
  <si>
    <t>ISTEXT</t>
  </si>
  <si>
    <t>Column</t>
  </si>
  <si>
    <t>IS Result</t>
  </si>
  <si>
    <t>SMALL</t>
  </si>
  <si>
    <t>BM1</t>
  </si>
  <si>
    <t>BM2</t>
  </si>
  <si>
    <t>BM3</t>
  </si>
  <si>
    <t>model</t>
  </si>
  <si>
    <t>H</t>
  </si>
  <si>
    <t>I</t>
  </si>
  <si>
    <t>J</t>
  </si>
  <si>
    <t>K</t>
  </si>
  <si>
    <t>L</t>
  </si>
  <si>
    <t>M</t>
  </si>
  <si>
    <t>N</t>
  </si>
  <si>
    <t>O</t>
  </si>
  <si>
    <t>=IF(AND(T12,ISNUMBER(D3)=FALSE),CONCATENATE($B$2,"(",B3,")")&amp;CHAR(10)&amp;CONCATENATE($C$2,"(",C3,")"),CONCATENATE($B$2,"(",B3,")")&amp;CHAR(10)&amp;CONCATENATE($C$2,"(",C3,")")&amp;CHAR(10)&amp;CONCATENATE($D$2,"(",D3,")"))</t>
  </si>
  <si>
    <t>TRUE1</t>
  </si>
  <si>
    <t>TRUE2</t>
  </si>
  <si>
    <t>IF 1</t>
  </si>
  <si>
    <t>OR</t>
  </si>
  <si>
    <t>IF2</t>
  </si>
  <si>
    <t>IF3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</si>
</sst>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;@"/>
  </numFmts>
  <fonts count="2">
    <font>
      <sz val="11"/>
      <color theme="1"/>
      <name val="Calibri"/>
      <family val="2"/>
      <charset val="136"/>
      <scheme val="minor"/>
    </font>
    <font>
      <sz val="8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0813-F738-4E9A-A9CA-7843D9ECCC9B}">
  <dimension ref="A1:M57"/>
  <sheetViews>
    <sheetView topLeftCell="A16" workbookViewId="0">
      <selection activeCell="D49" sqref="D49"/>
    </sheetView>
  </sheetViews>
  <sheetFormatPr defaultRowHeight="15"/>
  <cols>
    <col min="1" max="1" width="16" style="1" customWidth="1"/>
    <col min="2" max="11" width="17" style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29</v>
      </c>
      <c r="J1" s="1" t="s">
        <v>30</v>
      </c>
      <c r="K1" s="1" t="s">
        <v>28</v>
      </c>
      <c r="L1" s="1" t="s">
        <v>31</v>
      </c>
    </row>
    <row r="2" spans="1:12">
      <c r="A2" s="1" t="s">
        <v>4</v>
      </c>
      <c r="B2" s="1">
        <v>10</v>
      </c>
      <c r="C2" s="1">
        <v>40</v>
      </c>
      <c r="D2" s="1">
        <v>80</v>
      </c>
      <c r="E2" s="1">
        <v>60</v>
      </c>
      <c r="F2" s="1">
        <v>50</v>
      </c>
      <c r="G2" s="1">
        <v>70</v>
      </c>
    </row>
    <row r="3" spans="1:12">
      <c r="A3" s="1" t="s">
        <v>5</v>
      </c>
      <c r="B3" s="1">
        <v>20</v>
      </c>
      <c r="C3" s="1">
        <v>50</v>
      </c>
      <c r="D3" s="1">
        <v>90</v>
      </c>
      <c r="E3" s="1">
        <v>70</v>
      </c>
      <c r="F3" s="1">
        <v>80</v>
      </c>
      <c r="G3" s="1">
        <v>80</v>
      </c>
    </row>
    <row r="4" spans="1:12">
      <c r="A4" s="1" t="s">
        <v>6</v>
      </c>
      <c r="B4" s="1">
        <v>30</v>
      </c>
      <c r="C4" s="1">
        <v>60</v>
      </c>
      <c r="D4" s="1">
        <v>10</v>
      </c>
      <c r="E4" s="1">
        <v>80</v>
      </c>
      <c r="F4" s="1">
        <v>90</v>
      </c>
      <c r="G4" s="1">
        <v>90</v>
      </c>
    </row>
    <row r="5" spans="1:12">
      <c r="A5" s="1" t="s">
        <v>8</v>
      </c>
      <c r="B5" s="1">
        <v>40</v>
      </c>
      <c r="C5" s="1">
        <v>70</v>
      </c>
      <c r="D5" s="1">
        <v>20</v>
      </c>
      <c r="E5" s="1">
        <v>90</v>
      </c>
      <c r="F5" s="1">
        <v>10</v>
      </c>
      <c r="G5" s="1">
        <v>10</v>
      </c>
    </row>
    <row r="6" spans="1:12">
      <c r="A6" s="1" t="s">
        <v>7</v>
      </c>
      <c r="B6" s="1">
        <v>50</v>
      </c>
      <c r="C6" s="1">
        <v>80</v>
      </c>
      <c r="D6" s="1">
        <v>40</v>
      </c>
      <c r="E6" s="1">
        <v>40</v>
      </c>
      <c r="F6" s="1">
        <v>20</v>
      </c>
      <c r="G6" s="1">
        <v>20</v>
      </c>
    </row>
    <row r="7" spans="1:12">
      <c r="A7" s="1" t="s">
        <v>9</v>
      </c>
      <c r="B7" s="1">
        <v>60</v>
      </c>
      <c r="C7" s="1">
        <v>90</v>
      </c>
      <c r="D7" s="1">
        <v>50</v>
      </c>
      <c r="E7" s="1">
        <v>50</v>
      </c>
      <c r="F7" s="1">
        <v>40</v>
      </c>
      <c r="G7" s="1">
        <v>40</v>
      </c>
    </row>
    <row r="8" spans="1:12">
      <c r="A8" s="1" t="s">
        <v>10</v>
      </c>
      <c r="B8" s="1">
        <v>70</v>
      </c>
      <c r="C8" s="1">
        <v>10</v>
      </c>
      <c r="D8" s="1">
        <v>80</v>
      </c>
      <c r="E8" s="1">
        <v>60</v>
      </c>
      <c r="F8" s="1">
        <v>50</v>
      </c>
      <c r="G8" s="1">
        <v>10</v>
      </c>
    </row>
    <row r="9" spans="1:12">
      <c r="A9" s="1" t="s">
        <v>2</v>
      </c>
      <c r="B9" s="1">
        <v>80</v>
      </c>
      <c r="C9" s="1">
        <v>20</v>
      </c>
      <c r="D9" s="1">
        <v>90</v>
      </c>
      <c r="E9" s="1">
        <v>70</v>
      </c>
      <c r="F9" s="1">
        <v>80</v>
      </c>
      <c r="G9" s="1">
        <v>20</v>
      </c>
      <c r="H9" s="1">
        <v>100</v>
      </c>
      <c r="I9" s="1">
        <v>100</v>
      </c>
      <c r="J9" s="1">
        <v>100</v>
      </c>
    </row>
    <row r="10" spans="1:12">
      <c r="A10" s="1" t="s">
        <v>11</v>
      </c>
      <c r="B10" s="1">
        <v>90</v>
      </c>
      <c r="C10" s="1">
        <v>40</v>
      </c>
      <c r="D10" s="1">
        <v>10</v>
      </c>
      <c r="E10" s="1">
        <v>60</v>
      </c>
      <c r="F10" s="1">
        <v>70</v>
      </c>
      <c r="G10" s="1">
        <v>40</v>
      </c>
    </row>
    <row r="11" spans="1:12">
      <c r="A11" s="1" t="s">
        <v>12</v>
      </c>
      <c r="B11" s="1">
        <v>10</v>
      </c>
      <c r="C11" s="1">
        <v>50</v>
      </c>
      <c r="D11" s="1">
        <v>20</v>
      </c>
      <c r="E11" s="1">
        <v>70</v>
      </c>
      <c r="F11" s="1">
        <v>80</v>
      </c>
      <c r="G11" s="1">
        <v>50</v>
      </c>
    </row>
    <row r="12" spans="1:12">
      <c r="A12" s="1" t="s">
        <v>13</v>
      </c>
      <c r="B12" s="1">
        <v>20</v>
      </c>
      <c r="C12" s="1">
        <v>60</v>
      </c>
      <c r="D12" s="1">
        <v>40</v>
      </c>
      <c r="E12" s="1">
        <v>80</v>
      </c>
      <c r="F12" s="1">
        <v>90</v>
      </c>
      <c r="G12" s="1">
        <v>80</v>
      </c>
    </row>
    <row r="13" spans="1:12">
      <c r="A13" s="1" t="s">
        <v>14</v>
      </c>
      <c r="B13" s="1">
        <v>30</v>
      </c>
      <c r="C13" s="1">
        <v>70</v>
      </c>
      <c r="D13" s="1">
        <v>50</v>
      </c>
      <c r="E13" s="1">
        <v>90</v>
      </c>
      <c r="F13" s="1">
        <v>10</v>
      </c>
      <c r="G13" s="1">
        <v>90</v>
      </c>
      <c r="K13" s="1">
        <v>100</v>
      </c>
    </row>
    <row r="14" spans="1:12">
      <c r="A14" s="1" t="s">
        <v>15</v>
      </c>
      <c r="B14" s="1">
        <v>40</v>
      </c>
      <c r="C14" s="1">
        <v>80</v>
      </c>
      <c r="D14" s="1">
        <v>80</v>
      </c>
      <c r="E14" s="1">
        <v>40</v>
      </c>
      <c r="F14" s="1">
        <v>20</v>
      </c>
      <c r="G14" s="1">
        <v>10</v>
      </c>
    </row>
    <row r="15" spans="1:12">
      <c r="A15" s="1" t="s">
        <v>16</v>
      </c>
      <c r="B15" s="1">
        <v>50</v>
      </c>
      <c r="C15" s="1">
        <v>90</v>
      </c>
      <c r="D15" s="1">
        <v>90</v>
      </c>
      <c r="E15" s="1">
        <v>50</v>
      </c>
      <c r="F15" s="1">
        <v>40</v>
      </c>
      <c r="G15" s="1">
        <v>20</v>
      </c>
      <c r="L15">
        <v>120</v>
      </c>
    </row>
    <row r="16" spans="1:12">
      <c r="A16" s="1" t="s">
        <v>17</v>
      </c>
      <c r="B16" s="1">
        <v>60</v>
      </c>
      <c r="C16" s="1">
        <v>10</v>
      </c>
      <c r="D16" s="1">
        <v>10</v>
      </c>
      <c r="E16" s="1">
        <v>60</v>
      </c>
      <c r="F16" s="1">
        <v>20</v>
      </c>
      <c r="G16" s="1">
        <v>40</v>
      </c>
    </row>
    <row r="17" spans="1:12">
      <c r="A17" s="1" t="s">
        <v>18</v>
      </c>
      <c r="B17" s="1">
        <v>70</v>
      </c>
      <c r="C17" s="1">
        <v>20</v>
      </c>
      <c r="D17" s="1">
        <v>20</v>
      </c>
      <c r="E17" s="1">
        <v>70</v>
      </c>
      <c r="F17" s="1">
        <v>30</v>
      </c>
      <c r="G17" s="1">
        <v>50</v>
      </c>
    </row>
    <row r="18" spans="1:12">
      <c r="A18" s="1" t="s">
        <v>19</v>
      </c>
      <c r="B18" s="1">
        <v>80</v>
      </c>
      <c r="C18" s="1">
        <v>80</v>
      </c>
      <c r="D18" s="1">
        <v>40</v>
      </c>
      <c r="E18" s="1">
        <v>10</v>
      </c>
      <c r="F18" s="1">
        <v>40</v>
      </c>
      <c r="G18" s="1">
        <v>80</v>
      </c>
    </row>
    <row r="19" spans="1:12">
      <c r="A19" s="1" t="s">
        <v>20</v>
      </c>
      <c r="B19" s="1">
        <v>30</v>
      </c>
      <c r="C19" s="1">
        <v>70</v>
      </c>
      <c r="D19" s="1">
        <v>50</v>
      </c>
      <c r="E19" s="1">
        <v>20</v>
      </c>
      <c r="F19" s="1">
        <v>50</v>
      </c>
      <c r="G19" s="1">
        <v>40</v>
      </c>
    </row>
    <row r="20" spans="1:12">
      <c r="A20" s="1" t="s">
        <v>21</v>
      </c>
      <c r="B20" s="1">
        <v>40</v>
      </c>
      <c r="C20" s="1">
        <v>80</v>
      </c>
      <c r="D20" s="1">
        <v>40</v>
      </c>
      <c r="E20" s="1">
        <v>10</v>
      </c>
      <c r="F20" s="1">
        <v>40</v>
      </c>
      <c r="G20" s="1">
        <v>50</v>
      </c>
    </row>
    <row r="21" spans="1:12">
      <c r="A21" s="1" t="s">
        <v>22</v>
      </c>
      <c r="B21" s="1">
        <v>100</v>
      </c>
      <c r="C21" s="1">
        <v>150</v>
      </c>
      <c r="D21" s="1">
        <v>250</v>
      </c>
      <c r="E21" s="1">
        <v>20</v>
      </c>
      <c r="F21" s="1">
        <v>50</v>
      </c>
      <c r="G21" s="1">
        <v>60</v>
      </c>
    </row>
    <row r="24" spans="1:12" hidden="1">
      <c r="A24" s="1" t="s">
        <v>36</v>
      </c>
      <c r="B24" s="1">
        <f>COUNTIF($B$32:$L$32,"="&amp;B32)</f>
        <v>4</v>
      </c>
      <c r="C24" s="1">
        <f t="shared" ref="C24:L24" si="0">COUNTIF($B$32:$L$32,"="&amp;C32)</f>
        <v>2</v>
      </c>
      <c r="D24" s="1">
        <f t="shared" si="0"/>
        <v>1</v>
      </c>
      <c r="E24" s="1">
        <f t="shared" si="0"/>
        <v>4</v>
      </c>
      <c r="F24" s="1">
        <f t="shared" si="0"/>
        <v>1</v>
      </c>
      <c r="G24" s="1">
        <f t="shared" si="0"/>
        <v>1</v>
      </c>
      <c r="H24" s="1">
        <f t="shared" si="0"/>
        <v>4</v>
      </c>
      <c r="I24" s="1">
        <f t="shared" si="0"/>
        <v>1</v>
      </c>
      <c r="J24" s="1">
        <f t="shared" si="0"/>
        <v>4</v>
      </c>
      <c r="K24" s="1">
        <f t="shared" si="0"/>
        <v>2</v>
      </c>
      <c r="L24" s="1">
        <f t="shared" si="0"/>
        <v>1</v>
      </c>
    </row>
    <row r="25" spans="1:12" hidden="1">
      <c r="A25" s="1" t="s">
        <v>35</v>
      </c>
      <c r="B25" s="1" t="e">
        <f>INDEX($B$32:$L$32,MATCH(COLUMNS($B$26:B26),$B$26:$L$26,0))</f>
        <v>#N/A</v>
      </c>
      <c r="C25" s="1" t="e">
        <f>INDEX($B$32:$L$32,MATCH(COLUMNS($B$26:C26),$B$26:$L$26,0))</f>
        <v>#N/A</v>
      </c>
      <c r="D25" s="1" t="e">
        <f>INDEX($B$32:$L$32,MATCH(COLUMNS($B$26:D26),$B$26:$L$26,0))</f>
        <v>#N/A</v>
      </c>
      <c r="E25" s="1" t="str">
        <f>INDEX($B$32:$L$32,MATCH(COLUMNS($B$26:E26),$B$26:$L$26,0))</f>
        <v>A</v>
      </c>
      <c r="F25" s="1" t="str">
        <f>INDEX($B$32:$L$32,MATCH(COLUMNS($B$26:F26),$B$26:$L$26,0))</f>
        <v>AA</v>
      </c>
      <c r="G25" s="1" t="e">
        <f>INDEX($B$32:$L$32,MATCH(COLUMNS($B$26:G26),$B$26:$L$26,0))</f>
        <v>#N/A</v>
      </c>
      <c r="H25" s="1" t="str">
        <f>INDEX($B$32:$L$32,MATCH(COLUMNS($B$26:H26),$B$26:$L$26,0))</f>
        <v>B</v>
      </c>
      <c r="I25" s="1" t="str">
        <f>INDEX($B$32:$L$32,MATCH(COLUMNS($B$26:I26),$B$26:$L$26,0))</f>
        <v>C</v>
      </c>
      <c r="J25" s="1" t="str">
        <f>INDEX($B$32:$L$32,MATCH(COLUMNS($B$26:J26),$B$26:$L$26,0))</f>
        <v>E</v>
      </c>
      <c r="K25" s="1" t="str">
        <f>INDEX($B$32:$L$32,MATCH(COLUMNS($B$26:K26),$B$26:$L$26,0))</f>
        <v>F</v>
      </c>
      <c r="L25" s="1" t="str">
        <f>INDEX($B$32:$L$32,MATCH(COLUMNS($B$26:L26),$B$26:$L$26,0))</f>
        <v>T</v>
      </c>
    </row>
    <row r="26" spans="1:12" hidden="1">
      <c r="A26" s="1" t="s">
        <v>34</v>
      </c>
      <c r="B26" s="1">
        <f>COUNTIF($B$32:$L$32,"&lt;="&amp;B$32)</f>
        <v>4</v>
      </c>
      <c r="C26" s="1">
        <f t="shared" ref="C26:L26" si="1">COUNTIF($B$32:$L$32,"&lt;="&amp;C$32)</f>
        <v>7</v>
      </c>
      <c r="D26" s="1">
        <f t="shared" si="1"/>
        <v>8</v>
      </c>
      <c r="E26" s="1">
        <f t="shared" si="1"/>
        <v>4</v>
      </c>
      <c r="F26" s="1">
        <f t="shared" si="1"/>
        <v>9</v>
      </c>
      <c r="G26" s="1">
        <f t="shared" si="1"/>
        <v>10</v>
      </c>
      <c r="H26" s="1">
        <f t="shared" si="1"/>
        <v>4</v>
      </c>
      <c r="I26" s="1">
        <f t="shared" si="1"/>
        <v>5</v>
      </c>
      <c r="J26" s="1">
        <f t="shared" si="1"/>
        <v>4</v>
      </c>
      <c r="K26" s="1">
        <f t="shared" si="1"/>
        <v>7</v>
      </c>
      <c r="L26" s="1">
        <f t="shared" si="1"/>
        <v>11</v>
      </c>
    </row>
    <row r="27" spans="1:12" hidden="1">
      <c r="A27" s="1" t="s">
        <v>33</v>
      </c>
      <c r="B27" s="1">
        <f>COUNTIF(B32:L32,B32)</f>
        <v>4</v>
      </c>
      <c r="C27" s="1">
        <f t="shared" ref="C27:L27" si="2">COUNTIF(C32:M32,C32)</f>
        <v>2</v>
      </c>
      <c r="D27" s="1">
        <f t="shared" si="2"/>
        <v>1</v>
      </c>
      <c r="E27" s="1">
        <f t="shared" si="2"/>
        <v>3</v>
      </c>
      <c r="F27" s="1">
        <f t="shared" si="2"/>
        <v>1</v>
      </c>
      <c r="G27" s="1">
        <f t="shared" si="2"/>
        <v>1</v>
      </c>
      <c r="H27" s="1">
        <f t="shared" si="2"/>
        <v>2</v>
      </c>
      <c r="I27" s="1">
        <f t="shared" si="2"/>
        <v>1</v>
      </c>
      <c r="J27" s="1">
        <f t="shared" si="2"/>
        <v>1</v>
      </c>
      <c r="K27" s="1">
        <f t="shared" si="2"/>
        <v>1</v>
      </c>
      <c r="L27" s="1">
        <f t="shared" si="2"/>
        <v>1</v>
      </c>
    </row>
    <row r="28" spans="1:12" hidden="1">
      <c r="B28" s="1">
        <f>COUNTIF($B$32:$L32,$B$32:$L32)</f>
        <v>4</v>
      </c>
      <c r="C28" s="1">
        <f>COUNTIF($B$32:$L32,$B$32:$L32)</f>
        <v>2</v>
      </c>
      <c r="D28" s="1">
        <f>COUNTIF($B$32:$L32,$B$32:$L32)</f>
        <v>1</v>
      </c>
      <c r="E28" s="1">
        <f>COUNTIF($B$32:$L32,$B$32:$L32)</f>
        <v>4</v>
      </c>
      <c r="F28" s="1">
        <f>COUNTIF($B$32:$L32,$B$32:$L32)</f>
        <v>1</v>
      </c>
      <c r="G28" s="1">
        <f>COUNTIF($B$32:$L32,$B$32:$L32)</f>
        <v>1</v>
      </c>
      <c r="H28" s="1">
        <f>COUNTIF($B$32:$L32,$B$32:$L32)</f>
        <v>4</v>
      </c>
      <c r="I28" s="1">
        <f>COUNTIF($B$32:$L32,$B$32:$L32)</f>
        <v>1</v>
      </c>
      <c r="J28" s="1">
        <f>COUNTIF($B$32:$L32,$B$32:$L32)</f>
        <v>4</v>
      </c>
      <c r="K28" s="1">
        <f>COUNTIF($B$32:$L32,$B$32:$L32)</f>
        <v>2</v>
      </c>
      <c r="L28" s="1">
        <f>COUNTIF($B$32:$L32,$B$32:$L32)</f>
        <v>1</v>
      </c>
    </row>
    <row r="29" spans="1:12" hidden="1">
      <c r="B29" s="1" t="b">
        <f>COUNTIF($B$32:$L$32,$B$32:B32)&lt;&gt;1</f>
        <v>1</v>
      </c>
      <c r="C29" s="1" t="b">
        <f>COUNTIF($B$32:$L$32,$B$32:C32)&lt;&gt;1</f>
        <v>1</v>
      </c>
      <c r="D29" s="1" t="b">
        <f>COUNTIF($B$32:$L$32,$B$32:D32)&lt;&gt;1</f>
        <v>0</v>
      </c>
      <c r="E29" s="1" t="b">
        <f>COUNTIF($B$32:$L$32,$B$32:E32)&lt;&gt;1</f>
        <v>1</v>
      </c>
      <c r="F29" s="1" t="b">
        <f>COUNTIF($B$32:$L$32,$B$32:F32)&lt;&gt;1</f>
        <v>0</v>
      </c>
      <c r="G29" s="1" t="b">
        <f>COUNTIF($B$32:$L$32,$B$32:G32)&lt;&gt;1</f>
        <v>0</v>
      </c>
      <c r="H29" s="1" t="b">
        <f>COUNTIF($B$32:$L$32,$B$32:H32)&lt;&gt;1</f>
        <v>1</v>
      </c>
      <c r="I29" s="1" t="b">
        <f>COUNTIF($B$32:$L$32,$B$32:I32)&lt;&gt;1</f>
        <v>0</v>
      </c>
      <c r="J29" s="1" t="b">
        <f>COUNTIF($B$32:$L$32,$B$32:J32)&lt;&gt;1</f>
        <v>1</v>
      </c>
      <c r="K29" s="1" t="b">
        <f>COUNTIF($B$32:$L$32,$B$32:K32)&lt;&gt;1</f>
        <v>1</v>
      </c>
      <c r="L29" s="1" t="b">
        <f>COUNTIF($B$32:$L$32,$B$32:L32)&lt;&gt;1</f>
        <v>0</v>
      </c>
    </row>
    <row r="30" spans="1:12" hidden="1">
      <c r="B30" s="1" t="b">
        <f>COUNTIF($B$32:$L32,$B$32:$L32)*COUNTIF($B$32:$L$32,$B$32:B32)&lt;&gt;1</f>
        <v>1</v>
      </c>
      <c r="C30" s="1" t="b">
        <f>COUNTIF($B$32:$L32,$B$32:$L32)*COUNTIF($B$32:$L$32,$B$32:C32)&lt;&gt;1</f>
        <v>1</v>
      </c>
      <c r="D30" s="1" t="b">
        <f>COUNTIF($B$32:$L32,$B$32:$L32)*COUNTIF($B$32:$L$32,$B$32:D32)&lt;&gt;1</f>
        <v>0</v>
      </c>
      <c r="E30" s="1" t="b">
        <f>COUNTIF($B$32:$L32,$B$32:$L32)*COUNTIF($B$32:$L$32,$B$32:E32)&lt;&gt;1</f>
        <v>1</v>
      </c>
      <c r="F30" s="1" t="b">
        <f>COUNTIF($B$32:$L32,$B$32:$L32)*COUNTIF($B$32:$L$32,$B$32:F32)&lt;&gt;1</f>
        <v>0</v>
      </c>
      <c r="G30" s="1" t="b">
        <f>COUNTIF($B$32:$L32,$B$32:$L32)*COUNTIF($B$32:$L$32,$B$32:G32)&lt;&gt;1</f>
        <v>0</v>
      </c>
      <c r="H30" s="1" t="b">
        <f>COUNTIF($B$32:$L32,$B$32:$L32)*COUNTIF($B$32:$L$32,$B$32:H32)&lt;&gt;1</f>
        <v>1</v>
      </c>
      <c r="I30" s="1" t="b">
        <f>COUNTIF($B$32:$L32,$B$32:$L32)*COUNTIF($B$32:$L$32,$B$32:I32)&lt;&gt;1</f>
        <v>0</v>
      </c>
      <c r="J30" s="1" t="b">
        <f>COUNTIF($B$32:$L32,$B$32:$L32)*COUNTIF($B$32:$L$32,$B$32:J32)&lt;&gt;1</f>
        <v>1</v>
      </c>
      <c r="K30" s="1" t="b">
        <f>COUNTIF($B$32:$L32,$B$32:$L32)*COUNTIF($B$32:$L$32,$B$32:K32)&lt;&gt;1</f>
        <v>1</v>
      </c>
      <c r="L30" s="1" t="b">
        <f>COUNTIF($B$32:$L32,$B$32:$L32)*COUNTIF($B$32:$L$32,$B$32:L32)&lt;&gt;1</f>
        <v>0</v>
      </c>
    </row>
    <row r="31" spans="1:12">
      <c r="A31" s="1" t="s">
        <v>37</v>
      </c>
      <c r="B31" s="1">
        <f>IF(COUNTIF(B32:$L32,B32)=1,B32,0)</f>
        <v>0</v>
      </c>
      <c r="C31" s="1">
        <f>IF(COUNTIF(C32:$L32,C32)=1,C32,0)</f>
        <v>0</v>
      </c>
      <c r="D31" s="1" t="str">
        <f>IF(COUNTIF(D32:$L32,D32)=1,D32,0)</f>
        <v>C</v>
      </c>
      <c r="E31" s="1">
        <f>IF(COUNTIF(E32:$L32,E32)=1,E32,0)</f>
        <v>0</v>
      </c>
      <c r="F31" s="1" t="str">
        <f>IF(COUNTIF(F32:$L32,F32)=1,F32,0)</f>
        <v>E</v>
      </c>
      <c r="G31" s="1" t="str">
        <f>IF(COUNTIF(G32:$L32,G32)=1,G32,0)</f>
        <v>F</v>
      </c>
      <c r="H31" s="1">
        <f>IF(COUNTIF(H32:$L32,H32)=1,H32,0)</f>
        <v>0</v>
      </c>
      <c r="I31" s="1" t="str">
        <f>IF(COUNTIF(I32:$L32,I32)=1,I32,0)</f>
        <v>AA</v>
      </c>
      <c r="J31" s="1" t="str">
        <f>IF(COUNTIF(J32:$L32,J32)=1,J32,0)</f>
        <v>A</v>
      </c>
      <c r="K31" s="1" t="str">
        <f>IF(COUNTIF(K32:$L32,K32)=1,K32,0)</f>
        <v>B</v>
      </c>
      <c r="L31" s="1" t="str">
        <f>IF(COUNTIF(L32:$L32,L32)=1,L32,0)</f>
        <v>T</v>
      </c>
    </row>
    <row r="32" spans="1:12">
      <c r="B32" s="2" t="str">
        <f>IFERROR(LEFT(B33,SEARCH("-",B33)-1),B33)</f>
        <v>A</v>
      </c>
      <c r="C32" s="2" t="str">
        <f t="shared" ref="C32:G32" si="3">IFERROR(LEFT(C33,SEARCH("-",C33)-1),C33)</f>
        <v>B</v>
      </c>
      <c r="D32" s="2" t="str">
        <f t="shared" si="3"/>
        <v>C</v>
      </c>
      <c r="E32" s="2" t="str">
        <f t="shared" si="3"/>
        <v>A</v>
      </c>
      <c r="F32" s="2" t="str">
        <f t="shared" si="3"/>
        <v>E</v>
      </c>
      <c r="G32" s="2" t="str">
        <f t="shared" si="3"/>
        <v>F</v>
      </c>
      <c r="H32" s="2" t="str">
        <f>IFERROR(LEFT(H33,SEARCH("-",H33)-1),H33)</f>
        <v>A</v>
      </c>
      <c r="I32" s="2" t="str">
        <f t="shared" ref="I32:L32" si="4">IFERROR(LEFT(I33,SEARCH("-",I33)-1),I33)</f>
        <v>AA</v>
      </c>
      <c r="J32" s="2" t="str">
        <f t="shared" si="4"/>
        <v>A</v>
      </c>
      <c r="K32" s="2" t="str">
        <f t="shared" si="4"/>
        <v>B</v>
      </c>
      <c r="L32" s="2" t="str">
        <f t="shared" si="4"/>
        <v>T</v>
      </c>
    </row>
    <row r="33" spans="1:13">
      <c r="A33" s="1" t="s">
        <v>0</v>
      </c>
      <c r="B33" s="1" t="s">
        <v>1</v>
      </c>
      <c r="C33" s="1" t="s">
        <v>2</v>
      </c>
      <c r="D33" s="1" t="s">
        <v>3</v>
      </c>
      <c r="E33" s="1" t="s">
        <v>1</v>
      </c>
      <c r="F33" s="1" t="s">
        <v>25</v>
      </c>
      <c r="G33" s="1" t="s">
        <v>26</v>
      </c>
      <c r="H33" s="1" t="s">
        <v>1</v>
      </c>
      <c r="I33" s="1" t="s">
        <v>32</v>
      </c>
      <c r="J33" s="1" t="s">
        <v>30</v>
      </c>
      <c r="K33" s="1" t="s">
        <v>28</v>
      </c>
      <c r="L33" s="1" t="s">
        <v>31</v>
      </c>
    </row>
    <row r="34" spans="1:13">
      <c r="A34" s="1" t="s">
        <v>4</v>
      </c>
      <c r="B34" s="1">
        <f>B2</f>
        <v>10</v>
      </c>
      <c r="C34" s="1">
        <f t="shared" ref="C34:K34" si="5">C2</f>
        <v>40</v>
      </c>
      <c r="D34" s="1">
        <f t="shared" si="5"/>
        <v>80</v>
      </c>
      <c r="E34" s="1">
        <f t="shared" si="5"/>
        <v>60</v>
      </c>
      <c r="F34" s="1">
        <f t="shared" si="5"/>
        <v>50</v>
      </c>
      <c r="G34" s="1">
        <f t="shared" si="5"/>
        <v>70</v>
      </c>
      <c r="H34" s="1">
        <f t="shared" ref="H34:I34" si="6">H2</f>
        <v>0</v>
      </c>
      <c r="I34" s="1">
        <f t="shared" si="6"/>
        <v>0</v>
      </c>
      <c r="J34" s="1">
        <f t="shared" si="5"/>
        <v>0</v>
      </c>
      <c r="K34" s="1">
        <f t="shared" si="5"/>
        <v>0</v>
      </c>
      <c r="L34" s="1">
        <f t="shared" ref="L34" si="7">L2</f>
        <v>0</v>
      </c>
    </row>
    <row r="35" spans="1:13">
      <c r="A35" s="1" t="s">
        <v>6</v>
      </c>
      <c r="B35" s="1">
        <f>SUM(B$3:INDEX(B$2:B$21,MATCH($A35,$A$2:$A$21,0)))</f>
        <v>50</v>
      </c>
      <c r="C35" s="1">
        <f>SUM(C$3:INDEX(C$2:C$21,MATCH($A35,$A$2:$A$21,0)))</f>
        <v>110</v>
      </c>
      <c r="D35" s="1">
        <f>SUM(D$3:INDEX(D$2:D$21,MATCH($A35,$A$2:$A$21,0)))</f>
        <v>100</v>
      </c>
      <c r="E35" s="1">
        <f>SUM(E$3:INDEX(E$2:E$21,MATCH($A35,$A$2:$A$21,0)))</f>
        <v>150</v>
      </c>
      <c r="F35" s="1">
        <f>SUM(F$3:INDEX(F$2:F$21,MATCH($A35,$A$2:$A$21,0)))</f>
        <v>170</v>
      </c>
      <c r="G35" s="1">
        <f>SUM(G$3:INDEX(G$2:G$21,MATCH($A35,$A$2:$A$21,0)))</f>
        <v>170</v>
      </c>
      <c r="H35" s="1">
        <f>SUM(H$3:INDEX(H$2:H$21,MATCH($A35,$A$2:$A$21,0)))</f>
        <v>0</v>
      </c>
      <c r="I35" s="1">
        <f>SUM(I$3:INDEX(I$2:I$21,MATCH($A35,$A$2:$A$21,0)))</f>
        <v>0</v>
      </c>
      <c r="J35" s="1">
        <f>SUM(J$3:INDEX(J$2:J$21,MATCH($A35,$A$2:$A$21,0)))</f>
        <v>0</v>
      </c>
      <c r="K35" s="1">
        <f>SUM(K$3:INDEX(K$2:K$21,MATCH($A35,$A$2:$A$21,0)))</f>
        <v>0</v>
      </c>
      <c r="L35" s="1">
        <f>SUM(L$3:INDEX(L$2:L$21,MATCH($A35,$A$2:$A$21,0)))</f>
        <v>0</v>
      </c>
    </row>
    <row r="36" spans="1:13">
      <c r="A36" s="1" t="s">
        <v>7</v>
      </c>
      <c r="B36" s="1">
        <f ca="1">SUM(OFFSET(INDEX(B$2:B$21,MATCH($A35,$A$2:$A$21,0)),1,0):INDEX(B$2:B$21,MATCH($A36,$A$2:$A$21,0)))</f>
        <v>90</v>
      </c>
      <c r="C36" s="1">
        <f ca="1">SUM(OFFSET(INDEX(C$2:C$21,MATCH($A35,$A$2:$A$21,0)),1,0):INDEX(C$2:C$21,MATCH($A36,$A$2:$A$21,0)))</f>
        <v>150</v>
      </c>
      <c r="D36" s="1">
        <f ca="1">SUM(OFFSET(INDEX(D$2:D$21,MATCH($A35,$A$2:$A$21,0)),1,0):INDEX(D$2:D$21,MATCH($A36,$A$2:$A$21,0)))</f>
        <v>60</v>
      </c>
      <c r="E36" s="1">
        <f ca="1">SUM(OFFSET(INDEX(E$2:E$21,MATCH($A35,$A$2:$A$21,0)),1,0):INDEX(E$2:E$21,MATCH($A36,$A$2:$A$21,0)))</f>
        <v>130</v>
      </c>
      <c r="F36" s="1">
        <f ca="1">SUM(OFFSET(INDEX(F$2:F$21,MATCH($A35,$A$2:$A$21,0)),1,0):INDEX(F$2:F$21,MATCH($A36,$A$2:$A$21,0)))</f>
        <v>30</v>
      </c>
      <c r="G36" s="1">
        <f ca="1">SUM(OFFSET(INDEX(G$2:G$21,MATCH($A35,$A$2:$A$21,0)),1,0):INDEX(G$2:G$21,MATCH($A36,$A$2:$A$21,0)))</f>
        <v>30</v>
      </c>
      <c r="H36" s="1">
        <f ca="1">SUM(OFFSET(INDEX(H$2:H$21,MATCH($A35,$A$2:$A$21,0)),1,0):INDEX(H$2:H$21,MATCH($A36,$A$2:$A$21,0)))</f>
        <v>0</v>
      </c>
      <c r="I36" s="1">
        <f ca="1">SUM(OFFSET(INDEX(I$2:I$21,MATCH($A35,$A$2:$A$21,0)),1,0):INDEX(I$2:I$21,MATCH($A36,$A$2:$A$21,0)))</f>
        <v>0</v>
      </c>
      <c r="J36" s="1">
        <f ca="1">SUM(OFFSET(INDEX(J$2:J$21,MATCH($A35,$A$2:$A$21,0)),1,0):INDEX(J$2:J$21,MATCH($A36,$A$2:$A$21,0)))</f>
        <v>0</v>
      </c>
      <c r="K36" s="1">
        <f ca="1">SUM(OFFSET(INDEX(K$2:K$21,MATCH($A35,$A$2:$A$21,0)),1,0):INDEX(K$2:K$21,MATCH($A36,$A$2:$A$21,0)))</f>
        <v>0</v>
      </c>
      <c r="L36" s="1">
        <f ca="1">SUM(OFFSET(INDEX(L$2:L$21,MATCH($A35,$A$2:$A$21,0)),1,0):INDEX(L$2:L$21,MATCH($A36,$A$2:$A$21,0)))</f>
        <v>0</v>
      </c>
    </row>
    <row r="37" spans="1:13">
      <c r="A37" s="1" t="s">
        <v>2</v>
      </c>
      <c r="B37" s="1">
        <f ca="1">SUM(OFFSET(INDEX(B$2:B$21,MATCH($A36,$A$2:$A$21,0)),1,0):INDEX(B$2:B$21,MATCH($A37,$A$2:$A$21,0)))</f>
        <v>210</v>
      </c>
      <c r="C37" s="1">
        <f ca="1">SUM(OFFSET(INDEX(C$2:C$21,MATCH($A36,$A$2:$A$21,0)),1,0):INDEX(C$2:C$21,MATCH($A37,$A$2:$A$21,0)))</f>
        <v>120</v>
      </c>
      <c r="D37" s="1">
        <f ca="1">SUM(OFFSET(INDEX(D$2:D$21,MATCH($A36,$A$2:$A$21,0)),1,0):INDEX(D$2:D$21,MATCH($A37,$A$2:$A$21,0)))</f>
        <v>220</v>
      </c>
      <c r="E37" s="1">
        <f ca="1">SUM(OFFSET(INDEX(E$2:E$21,MATCH($A36,$A$2:$A$21,0)),1,0):INDEX(E$2:E$21,MATCH($A37,$A$2:$A$21,0)))</f>
        <v>180</v>
      </c>
      <c r="F37" s="1">
        <f ca="1">SUM(OFFSET(INDEX(F$2:F$21,MATCH($A36,$A$2:$A$21,0)),1,0):INDEX(F$2:F$21,MATCH($A37,$A$2:$A$21,0)))</f>
        <v>170</v>
      </c>
      <c r="G37" s="1">
        <f ca="1">SUM(OFFSET(INDEX(G$2:G$21,MATCH($A36,$A$2:$A$21,0)),1,0):INDEX(G$2:G$21,MATCH($A37,$A$2:$A$21,0)))</f>
        <v>70</v>
      </c>
      <c r="H37" s="1">
        <f ca="1">SUM(OFFSET(INDEX(H$2:H$21,MATCH($A36,$A$2:$A$21,0)),1,0):INDEX(H$2:H$21,MATCH($A37,$A$2:$A$21,0)))</f>
        <v>100</v>
      </c>
      <c r="I37" s="1">
        <f ca="1">SUM(OFFSET(INDEX(I$2:I$21,MATCH($A36,$A$2:$A$21,0)),1,0):INDEX(I$2:I$21,MATCH($A37,$A$2:$A$21,0)))</f>
        <v>100</v>
      </c>
      <c r="J37" s="1">
        <f ca="1">SUM(OFFSET(INDEX(J$2:J$21,MATCH($A36,$A$2:$A$21,0)),1,0):INDEX(J$2:J$21,MATCH($A37,$A$2:$A$21,0)))</f>
        <v>100</v>
      </c>
      <c r="K37" s="1">
        <f ca="1">SUM(OFFSET(INDEX(K$2:K$21,MATCH($A36,$A$2:$A$21,0)),1,0):INDEX(K$2:K$21,MATCH($A37,$A$2:$A$21,0)))</f>
        <v>0</v>
      </c>
      <c r="L37" s="1">
        <f ca="1">SUM(OFFSET(INDEX(L$2:L$21,MATCH($A36,$A$2:$A$21,0)),1,0):INDEX(L$2:L$21,MATCH($A37,$A$2:$A$21,0)))</f>
        <v>0</v>
      </c>
    </row>
    <row r="38" spans="1:13">
      <c r="A38" s="1" t="s">
        <v>16</v>
      </c>
      <c r="B38" s="1">
        <f ca="1">SUM(OFFSET(INDEX(B$2:B$21,MATCH($A37,$A$2:$A$21,0)),1,0):INDEX(B$2:B$21,MATCH($A38,$A$2:$A$21,0)))</f>
        <v>240</v>
      </c>
      <c r="C38" s="1">
        <f ca="1">SUM(OFFSET(INDEX(C$2:C$21,MATCH($A37,$A$2:$A$21,0)),1,0):INDEX(C$2:C$21,MATCH($A38,$A$2:$A$21,0)))</f>
        <v>390</v>
      </c>
      <c r="D38" s="1">
        <f ca="1">SUM(OFFSET(INDEX(D$2:D$21,MATCH($A37,$A$2:$A$21,0)),1,0):INDEX(D$2:D$21,MATCH($A38,$A$2:$A$21,0)))</f>
        <v>290</v>
      </c>
      <c r="E38" s="1">
        <f ca="1">SUM(OFFSET(INDEX(E$2:E$21,MATCH($A37,$A$2:$A$21,0)),1,0):INDEX(E$2:E$21,MATCH($A38,$A$2:$A$21,0)))</f>
        <v>390</v>
      </c>
      <c r="F38" s="1">
        <f ca="1">SUM(OFFSET(INDEX(F$2:F$21,MATCH($A37,$A$2:$A$21,0)),1,0):INDEX(F$2:F$21,MATCH($A38,$A$2:$A$21,0)))</f>
        <v>310</v>
      </c>
      <c r="G38" s="1">
        <f ca="1">SUM(OFFSET(INDEX(G$2:G$21,MATCH($A37,$A$2:$A$21,0)),1,0):INDEX(G$2:G$21,MATCH($A38,$A$2:$A$21,0)))</f>
        <v>290</v>
      </c>
      <c r="H38" s="1">
        <f ca="1">SUM(OFFSET(INDEX(H$2:H$21,MATCH($A37,$A$2:$A$21,0)),1,0):INDEX(H$2:H$21,MATCH($A38,$A$2:$A$21,0)))</f>
        <v>0</v>
      </c>
      <c r="I38" s="1">
        <f ca="1">SUM(OFFSET(INDEX(I$2:I$21,MATCH($A37,$A$2:$A$21,0)),1,0):INDEX(I$2:I$21,MATCH($A38,$A$2:$A$21,0)))</f>
        <v>0</v>
      </c>
      <c r="J38" s="1">
        <f ca="1">SUM(OFFSET(INDEX(J$2:J$21,MATCH($A37,$A$2:$A$21,0)),1,0):INDEX(J$2:J$21,MATCH($A38,$A$2:$A$21,0)))</f>
        <v>0</v>
      </c>
      <c r="K38" s="1">
        <f ca="1">SUM(OFFSET(INDEX(K$2:K$21,MATCH($A37,$A$2:$A$21,0)),1,0):INDEX(K$2:K$21,MATCH($A38,$A$2:$A$21,0)))</f>
        <v>100</v>
      </c>
      <c r="L38" s="1">
        <f ca="1">SUM(OFFSET(INDEX(L$2:L$21,MATCH($A37,$A$2:$A$21,0)),1,0):INDEX(L$2:L$21,MATCH($A38,$A$2:$A$21,0)))</f>
        <v>120</v>
      </c>
    </row>
    <row r="39" spans="1:13">
      <c r="A39" s="1" t="s">
        <v>18</v>
      </c>
      <c r="B39" s="1">
        <f ca="1">SUM(OFFSET(INDEX(B$2:B$21,MATCH($A38,$A$2:$A$21,0)),1,0):INDEX(B$2:B$21,MATCH($A39,$A$2:$A$21,0)))</f>
        <v>130</v>
      </c>
      <c r="C39" s="1">
        <f ca="1">SUM(OFFSET(INDEX(C$2:C$21,MATCH($A38,$A$2:$A$21,0)),1,0):INDEX(C$2:C$21,MATCH($A39,$A$2:$A$21,0)))</f>
        <v>30</v>
      </c>
      <c r="D39" s="1">
        <f ca="1">SUM(OFFSET(INDEX(D$2:D$21,MATCH($A38,$A$2:$A$21,0)),1,0):INDEX(D$2:D$21,MATCH($A39,$A$2:$A$21,0)))</f>
        <v>30</v>
      </c>
      <c r="E39" s="1">
        <f ca="1">SUM(OFFSET(INDEX(E$2:E$21,MATCH($A38,$A$2:$A$21,0)),1,0):INDEX(E$2:E$21,MATCH($A39,$A$2:$A$21,0)))</f>
        <v>130</v>
      </c>
      <c r="F39" s="1">
        <f ca="1">SUM(OFFSET(INDEX(F$2:F$21,MATCH($A38,$A$2:$A$21,0)),1,0):INDEX(F$2:F$21,MATCH($A39,$A$2:$A$21,0)))</f>
        <v>50</v>
      </c>
      <c r="G39" s="1">
        <f ca="1">SUM(OFFSET(INDEX(G$2:G$21,MATCH($A38,$A$2:$A$21,0)),1,0):INDEX(G$2:G$21,MATCH($A39,$A$2:$A$21,0)))</f>
        <v>90</v>
      </c>
      <c r="H39" s="1">
        <f ca="1">SUM(OFFSET(INDEX(H$2:H$21,MATCH($A38,$A$2:$A$21,0)),1,0):INDEX(H$2:H$21,MATCH($A39,$A$2:$A$21,0)))</f>
        <v>0</v>
      </c>
      <c r="I39" s="1">
        <f ca="1">SUM(OFFSET(INDEX(I$2:I$21,MATCH($A38,$A$2:$A$21,0)),1,0):INDEX(I$2:I$21,MATCH($A39,$A$2:$A$21,0)))</f>
        <v>0</v>
      </c>
      <c r="J39" s="1">
        <f ca="1">SUM(OFFSET(INDEX(J$2:J$21,MATCH($A38,$A$2:$A$21,0)),1,0):INDEX(J$2:J$21,MATCH($A39,$A$2:$A$21,0)))</f>
        <v>0</v>
      </c>
      <c r="K39" s="1">
        <f ca="1">SUM(OFFSET(INDEX(K$2:K$21,MATCH($A38,$A$2:$A$21,0)),1,0):INDEX(K$2:K$21,MATCH($A39,$A$2:$A$21,0)))</f>
        <v>0</v>
      </c>
      <c r="L39" s="1">
        <f ca="1">SUM(OFFSET(INDEX(L$2:L$21,MATCH($A38,$A$2:$A$21,0)),1,0):INDEX(L$2:L$21,MATCH($A39,$A$2:$A$21,0)))</f>
        <v>0</v>
      </c>
    </row>
    <row r="40" spans="1:13">
      <c r="A40" s="1" t="s">
        <v>22</v>
      </c>
      <c r="B40" s="1">
        <f ca="1">SUM(OFFSET(INDEX(B$2:B$21,MATCH($A39,$A$2:$A$21,0)),1,0):INDEX(B$2:B$21,MATCH($A40,$A$2:$A$21,0)))</f>
        <v>250</v>
      </c>
      <c r="C40" s="1">
        <f ca="1">SUM(OFFSET(INDEX(C$2:C$21,MATCH($A39,$A$2:$A$21,0)),1,0):INDEX(C$2:C$21,MATCH($A40,$A$2:$A$21,0)))</f>
        <v>380</v>
      </c>
      <c r="D40" s="1">
        <f ca="1">SUM(OFFSET(INDEX(D$2:D$21,MATCH($A39,$A$2:$A$21,0)),1,0):INDEX(D$2:D$21,MATCH($A40,$A$2:$A$21,0)))</f>
        <v>380</v>
      </c>
      <c r="E40" s="1">
        <f ca="1">SUM(OFFSET(INDEX(E$2:E$21,MATCH($A39,$A$2:$A$21,0)),1,0):INDEX(E$2:E$21,MATCH($A40,$A$2:$A$21,0)))</f>
        <v>60</v>
      </c>
      <c r="F40" s="1">
        <f ca="1">SUM(OFFSET(INDEX(F$2:F$21,MATCH($A39,$A$2:$A$21,0)),1,0):INDEX(F$2:F$21,MATCH($A40,$A$2:$A$21,0)))</f>
        <v>180</v>
      </c>
      <c r="G40" s="1">
        <f ca="1">SUM(OFFSET(INDEX(G$2:G$21,MATCH($A39,$A$2:$A$21,0)),1,0):INDEX(G$2:G$21,MATCH($A40,$A$2:$A$21,0)))</f>
        <v>230</v>
      </c>
      <c r="H40" s="1">
        <f ca="1">SUM(OFFSET(INDEX(H$2:H$21,MATCH($A39,$A$2:$A$21,0)),1,0):INDEX(H$2:H$21,MATCH($A40,$A$2:$A$21,0)))</f>
        <v>0</v>
      </c>
      <c r="I40" s="1">
        <f ca="1">SUM(OFFSET(INDEX(I$2:I$21,MATCH($A39,$A$2:$A$21,0)),1,0):INDEX(I$2:I$21,MATCH($A40,$A$2:$A$21,0)))</f>
        <v>0</v>
      </c>
      <c r="J40" s="1">
        <f ca="1">SUM(OFFSET(INDEX(J$2:J$21,MATCH($A39,$A$2:$A$21,0)),1,0):INDEX(J$2:J$21,MATCH($A40,$A$2:$A$21,0)))</f>
        <v>0</v>
      </c>
      <c r="K40" s="1">
        <f ca="1">SUM(OFFSET(INDEX(K$2:K$21,MATCH($A39,$A$2:$A$21,0)),1,0):INDEX(K$2:K$21,MATCH($A40,$A$2:$A$21,0)))</f>
        <v>0</v>
      </c>
      <c r="L40" s="1">
        <f ca="1">SUM(OFFSET(INDEX(L$2:L$21,MATCH($A39,$A$2:$A$21,0)),1,0):INDEX(L$2:L$21,MATCH($A40,$A$2:$A$21,0)))</f>
        <v>0</v>
      </c>
    </row>
    <row r="41" spans="1:13">
      <c r="L41" s="1"/>
    </row>
    <row r="42" spans="1:13">
      <c r="A42" s="1" t="s">
        <v>23</v>
      </c>
      <c r="B42" s="1">
        <f ca="1">SUM(B34:B40)</f>
        <v>980</v>
      </c>
      <c r="C42" s="1">
        <f t="shared" ref="C42:D42" ca="1" si="8">SUM(C34:C40)</f>
        <v>1220</v>
      </c>
      <c r="D42" s="1">
        <f t="shared" ca="1" si="8"/>
        <v>1160</v>
      </c>
      <c r="E42" s="1">
        <f t="shared" ref="E42" ca="1" si="9">SUM(E34:E40)</f>
        <v>1100</v>
      </c>
      <c r="F42" s="1">
        <f t="shared" ref="F42" ca="1" si="10">SUM(F34:F40)</f>
        <v>960</v>
      </c>
      <c r="G42" s="1">
        <f t="shared" ref="G42" ca="1" si="11">SUM(G34:G40)</f>
        <v>950</v>
      </c>
      <c r="H42" s="1">
        <f t="shared" ref="H42:J42" ca="1" si="12">SUM(H34:H40)</f>
        <v>100</v>
      </c>
      <c r="I42" s="1">
        <f t="shared" ca="1" si="12"/>
        <v>100</v>
      </c>
      <c r="J42" s="1">
        <f t="shared" ca="1" si="12"/>
        <v>100</v>
      </c>
      <c r="K42" s="1">
        <f t="shared" ref="K42:L42" ca="1" si="13">SUM(K34:K40)</f>
        <v>100</v>
      </c>
      <c r="L42" s="1">
        <f t="shared" ca="1" si="13"/>
        <v>120</v>
      </c>
    </row>
    <row r="44" spans="1:13">
      <c r="A44" s="1" t="s">
        <v>38</v>
      </c>
      <c r="B44" s="1" t="b">
        <f t="shared" ref="B44:L44" si="14">ISTEXT(B31)</f>
        <v>0</v>
      </c>
      <c r="C44" s="1" t="b">
        <f t="shared" si="14"/>
        <v>0</v>
      </c>
      <c r="D44" s="1" t="b">
        <f t="shared" si="14"/>
        <v>1</v>
      </c>
      <c r="E44" s="1" t="b">
        <f t="shared" si="14"/>
        <v>0</v>
      </c>
      <c r="F44" s="1" t="b">
        <f t="shared" si="14"/>
        <v>1</v>
      </c>
      <c r="G44" s="1" t="b">
        <f t="shared" si="14"/>
        <v>1</v>
      </c>
      <c r="H44" s="1" t="b">
        <f t="shared" si="14"/>
        <v>0</v>
      </c>
      <c r="I44" s="1" t="b">
        <f t="shared" si="14"/>
        <v>1</v>
      </c>
      <c r="J44" s="1" t="b">
        <f t="shared" si="14"/>
        <v>1</v>
      </c>
      <c r="K44" s="1" t="b">
        <f t="shared" si="14"/>
        <v>1</v>
      </c>
      <c r="L44" s="1" t="b">
        <f t="shared" si="14"/>
        <v>1</v>
      </c>
    </row>
    <row r="45" spans="1:13">
      <c r="A45" s="1" t="s">
        <v>39</v>
      </c>
      <c r="B45" s="1">
        <f>COLUMN(B31)</f>
        <v>2</v>
      </c>
      <c r="C45" s="1">
        <f t="shared" ref="C45:L45" si="15">COLUMN(C31)</f>
        <v>3</v>
      </c>
      <c r="D45" s="1">
        <f t="shared" si="15"/>
        <v>4</v>
      </c>
      <c r="E45" s="1">
        <f t="shared" si="15"/>
        <v>5</v>
      </c>
      <c r="F45" s="1">
        <f t="shared" si="15"/>
        <v>6</v>
      </c>
      <c r="G45" s="1">
        <f t="shared" si="15"/>
        <v>7</v>
      </c>
      <c r="H45" s="1">
        <f t="shared" si="15"/>
        <v>8</v>
      </c>
      <c r="I45" s="1">
        <f t="shared" si="15"/>
        <v>9</v>
      </c>
      <c r="J45" s="1">
        <f t="shared" si="15"/>
        <v>10</v>
      </c>
      <c r="K45" s="1">
        <f t="shared" si="15"/>
        <v>11</v>
      </c>
      <c r="L45" s="1">
        <f t="shared" si="15"/>
        <v>12</v>
      </c>
    </row>
    <row r="46" spans="1:13">
      <c r="A46" s="1" t="s">
        <v>40</v>
      </c>
      <c r="B46" s="1" t="str">
        <f>IF(B44=TRUE,B45,"")</f>
        <v/>
      </c>
      <c r="C46" s="1" t="str">
        <f t="shared" ref="C46:L46" si="16">IF(C44=TRUE,C45,"")</f>
        <v/>
      </c>
      <c r="D46" s="1">
        <f t="shared" si="16"/>
        <v>4</v>
      </c>
      <c r="E46" s="1" t="str">
        <f t="shared" si="16"/>
        <v/>
      </c>
      <c r="F46" s="1">
        <f t="shared" si="16"/>
        <v>6</v>
      </c>
      <c r="G46" s="1">
        <f t="shared" si="16"/>
        <v>7</v>
      </c>
      <c r="H46" s="1" t="str">
        <f t="shared" si="16"/>
        <v/>
      </c>
      <c r="I46" s="1">
        <f t="shared" si="16"/>
        <v>9</v>
      </c>
      <c r="J46" s="1">
        <f t="shared" si="16"/>
        <v>10</v>
      </c>
      <c r="K46" s="1">
        <f t="shared" si="16"/>
        <v>11</v>
      </c>
      <c r="L46" s="1">
        <f t="shared" si="16"/>
        <v>12</v>
      </c>
    </row>
    <row r="47" spans="1:13">
      <c r="A47" s="1" t="s">
        <v>41</v>
      </c>
      <c r="B47" s="1">
        <f>SMALL($A$46:$K$46,COLUMN(A46))</f>
        <v>4</v>
      </c>
      <c r="C47" s="1">
        <f t="shared" ref="C47:L47" si="17">SMALL($B$46:$L$46,COLUMN(B46))</f>
        <v>6</v>
      </c>
      <c r="D47" s="1">
        <f t="shared" si="17"/>
        <v>7</v>
      </c>
      <c r="E47" s="1">
        <f t="shared" si="17"/>
        <v>9</v>
      </c>
      <c r="F47" s="1">
        <f t="shared" si="17"/>
        <v>10</v>
      </c>
      <c r="G47" s="1">
        <f t="shared" si="17"/>
        <v>11</v>
      </c>
      <c r="H47" s="1">
        <f t="shared" si="17"/>
        <v>12</v>
      </c>
      <c r="I47" s="1" t="e">
        <f t="shared" si="17"/>
        <v>#NUM!</v>
      </c>
      <c r="J47" s="1" t="e">
        <f t="shared" si="17"/>
        <v>#NUM!</v>
      </c>
      <c r="K47" s="1" t="e">
        <f t="shared" si="17"/>
        <v>#NUM!</v>
      </c>
      <c r="L47" s="1" t="e">
        <f t="shared" si="17"/>
        <v>#NUM!</v>
      </c>
    </row>
    <row r="48" spans="1:13">
      <c r="A48" s="1" t="s">
        <v>0</v>
      </c>
      <c r="K48" s="1" t="e">
        <f t="shared" ref="K48:L48" si="18">INDEX($A$32:$L$32,K47)</f>
        <v>#NUM!</v>
      </c>
      <c r="L48" s="1" t="e">
        <f t="shared" si="18"/>
        <v>#NUM!</v>
      </c>
      <c r="M48" s="1"/>
    </row>
    <row r="49" spans="1:1">
      <c r="A49" s="1" t="s">
        <v>4</v>
      </c>
    </row>
    <row r="50" spans="1:1">
      <c r="A50" s="1" t="s">
        <v>6</v>
      </c>
    </row>
    <row r="51" spans="1:1">
      <c r="A51" s="1" t="s">
        <v>7</v>
      </c>
    </row>
    <row r="52" spans="1:1">
      <c r="A52" s="1" t="s">
        <v>2</v>
      </c>
    </row>
    <row r="53" spans="1:1">
      <c r="A53" s="1" t="s">
        <v>16</v>
      </c>
    </row>
    <row r="54" spans="1:1">
      <c r="A54" s="1" t="s">
        <v>18</v>
      </c>
    </row>
    <row r="55" spans="1:1">
      <c r="A55" s="1" t="s">
        <v>22</v>
      </c>
    </row>
    <row r="57" spans="1:1">
      <c r="A57" s="1" t="s">
        <v>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C5FEE-BCC3-4F91-BE14-95D06835EA71}">
  <dimension ref="A1:X22"/>
  <sheetViews>
    <sheetView tabSelected="1" workbookViewId="0">
      <selection activeCell="N15" sqref="N15"/>
    </sheetView>
  </sheetViews>
  <sheetFormatPr defaultRowHeight="15"/>
  <cols>
    <col min="19" max="19" width="17.85546875" customWidth="1"/>
    <col min="20" max="20" width="27.28515625" customWidth="1"/>
  </cols>
  <sheetData>
    <row r="1" spans="1:24">
      <c r="B1" t="s">
        <v>42</v>
      </c>
      <c r="C1" t="s">
        <v>42</v>
      </c>
      <c r="D1" t="s">
        <v>42</v>
      </c>
      <c r="E1" t="s">
        <v>42</v>
      </c>
      <c r="F1" t="s">
        <v>42</v>
      </c>
      <c r="G1" t="s">
        <v>43</v>
      </c>
      <c r="H1" t="s">
        <v>43</v>
      </c>
      <c r="I1" t="s">
        <v>43</v>
      </c>
      <c r="J1" t="s">
        <v>43</v>
      </c>
      <c r="K1" t="s">
        <v>43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</row>
    <row r="2" spans="1:24">
      <c r="A2" t="s">
        <v>45</v>
      </c>
      <c r="B2" t="s">
        <v>1</v>
      </c>
      <c r="C2" t="s">
        <v>2</v>
      </c>
      <c r="D2" t="s">
        <v>3</v>
      </c>
      <c r="E2" t="s">
        <v>24</v>
      </c>
      <c r="F2" t="s">
        <v>25</v>
      </c>
      <c r="G2" t="s">
        <v>26</v>
      </c>
      <c r="H2" t="s">
        <v>7</v>
      </c>
      <c r="I2" t="s">
        <v>46</v>
      </c>
      <c r="J2" t="s">
        <v>47</v>
      </c>
      <c r="K2" t="s">
        <v>48</v>
      </c>
      <c r="L2" t="s">
        <v>49</v>
      </c>
      <c r="M2" t="s">
        <v>50</v>
      </c>
      <c r="N2" t="s">
        <v>51</v>
      </c>
      <c r="O2" t="s">
        <v>52</v>
      </c>
      <c r="P2" t="s">
        <v>53</v>
      </c>
      <c r="T2" t="s">
        <v>42</v>
      </c>
      <c r="V2" t="s">
        <v>43</v>
      </c>
      <c r="X2" t="s">
        <v>44</v>
      </c>
    </row>
    <row r="3" spans="1:24" ht="57.75" customHeight="1">
      <c r="A3" s="3">
        <v>43970</v>
      </c>
      <c r="B3">
        <v>10</v>
      </c>
      <c r="C3">
        <v>2</v>
      </c>
      <c r="G3">
        <v>5</v>
      </c>
      <c r="H3">
        <v>2</v>
      </c>
      <c r="I3" t="str">
        <f ca="1">IF(COLUMN(I:I)&lt;=SUM(--($B$3:$L$3&lt;&gt;""))+1,INDEX($B$3:$L$3,0,SMALL(IF($B$3:$L$3&lt;&gt;"",COLUMN($B$3:$L$3)-1,""),COLUMN(I:I)-1)),"")</f>
        <v/>
      </c>
      <c r="J3" t="str">
        <f ca="1">IF(COLUMN(J:J)&lt;=SUM(--($B$3:$L$3&lt;&gt;""))+1,INDEX($B$3:$L$3,0,SMALL(IF($B$3:$L$3&lt;&gt;"",COLUMN($B$3:$L$3)-1,""),COLUMN(J:J)-1)),"")</f>
        <v/>
      </c>
      <c r="K3" t="str">
        <f ca="1">IF(COLUMN(K:K)&lt;=SUM(--($B$3:$L$3&lt;&gt;""))+1,INDEX($B$3:$L$3,0,SMALL(IF($B$3:$L$3&lt;&gt;"",COLUMN($B$3:$L$3)-1,""),COLUMN(K:K)-1)),"")</f>
        <v/>
      </c>
      <c r="L3">
        <v>6</v>
      </c>
      <c r="M3">
        <v>1</v>
      </c>
      <c r="T3" s="4" t="str">
        <f>IF(AND(ISNUMBER(B3)=TRUE,ISNUMBER(C3)=TRUE, ISNUMBER(D3)=FALSE),IF(AND(ISNUMBER(B3)=TRUE,ISNUMBER(C3)=FALSE),CONCATENATE($B$2,"(",B3,")"),CONCATENATE($B$2,"(",B3,")")&amp;CHAR(10)&amp;CONCATENATE($C$2,"(",C3,")")),CONCATENATE($B$2,"(",B3,")")&amp;CHAR(10)&amp;CONCATENATE($C$2,"(",C3,")")&amp;CHAR(10)&amp;CONCATENATE($D$2,"(",D3,")"))</f>
        <v>A(10)
B(2)</v>
      </c>
      <c r="U3" t="str">
        <f>IF(ISNUMBER(C3)=TRUE,CONCATENATE($B$2,"(",C3,")"),"")</f>
        <v>A(2)</v>
      </c>
    </row>
    <row r="4" spans="1:24" ht="59.25" customHeight="1">
      <c r="A4" s="3">
        <v>43971</v>
      </c>
      <c r="B4">
        <v>1</v>
      </c>
      <c r="C4">
        <v>1</v>
      </c>
      <c r="D4">
        <v>2</v>
      </c>
      <c r="H4">
        <v>10</v>
      </c>
      <c r="I4" t="str">
        <f ca="1">IF(COLUMN(I:I)&lt;=SUM(--($B$3:$L$3&lt;&gt;""))+1,INDEX($B$3:$L$3,0,SMALL(IF($B$3:$L$3&lt;&gt;"",COLUMN($B$3:$L$3)-1,""),COLUMN(I:I)-1)),"")</f>
        <v/>
      </c>
      <c r="J4" t="str">
        <f ca="1">IF(COLUMN(J:J)&lt;=SUM(--($B$3:$L$3&lt;&gt;""))+1,INDEX($B$3:$L$3,0,SMALL(IF($B$3:$L$3&lt;&gt;"",COLUMN($B$3:$L$3)-1,""),COLUMN(J:J)-1)),"")</f>
        <v/>
      </c>
      <c r="K4" t="str">
        <f ca="1">IF(COLUMN(K:K)&lt;=SUM(--($B$3:$L$3&lt;&gt;""))+1,INDEX($B$3:$L$3,0,SMALL(IF($B$3:$L$3&lt;&gt;"",COLUMN($B$3:$L$3)-1,""),COLUMN(K:K)-1)),"")</f>
        <v/>
      </c>
      <c r="M4">
        <v>10</v>
      </c>
      <c r="T4" s="6" t="str">
        <f>IF(ISNUMBER(B4)=FALSE, "",IF(AND(ISNUMBER(B4)=TRUE,ISNUMBER(C4)=FALSE,ISNUMBER(D4)=FALSE),CONCATENATE($B$2,"(",B4,")"),IF(AND(ISNUMBER(B4)=TRUE,ISNUMBER(C4)=TRUE,ISNUMBER(D4)=FALSE),CONCATENATE($B$2,"(",B4,")")&amp;CHAR(10)&amp;CONCATENATE($C$2,"(",C4,")"),IF(AND(ISNUMBER(B4)=TRUE,ISNUMBER(C4)=TRUE,ISNUMBER(D4)=TRUE),CONCATENATE($B$2,"(",B4,")")&amp;CHAR(10)&amp;CONCATENATE($C$2,"(",C4,")")&amp;CHAR(10)&amp;CONCATENATE($D$2,"(",D4,")"),CONCATENATE($B$2,"(",B4,")")))))</f>
        <v>A(1)
B(1)
C(2)</v>
      </c>
      <c r="U4" t="str">
        <f t="shared" ref="T4:U7" si="0">IF(ISNUMBER(C4)=TRUE,CONCATENATE($B$2,"(",C4,")"),"")</f>
        <v>A(1)</v>
      </c>
    </row>
    <row r="5" spans="1:24" ht="36.75" customHeight="1">
      <c r="A5" s="3">
        <v>43972</v>
      </c>
      <c r="B5">
        <v>5</v>
      </c>
      <c r="C5">
        <v>2</v>
      </c>
      <c r="D5">
        <v>2</v>
      </c>
      <c r="E5" t="str">
        <f>IF(COLUMN(E:E)&lt;=SUM(--($B$3:$L$3&lt;&gt;""))+1,INDEX($B$3:$L$3,0,SMALL(IF($B$3:$L$3&lt;&gt;"",COLUMN($B$3:$L$3)-1,""),COLUMN(E:E)-1)),"")</f>
        <v/>
      </c>
      <c r="F5" t="str">
        <f>IF(COLUMN(F:F)&lt;=SUM(--($B$3:$L$3&lt;&gt;""))+1,INDEX($B$3:$L$3,0,SMALL(IF($B$3:$L$3&lt;&gt;"",COLUMN($B$3:$L$3)-1,""),COLUMN(F:F)-1)),"")</f>
        <v/>
      </c>
      <c r="H5" t="str">
        <f>IF(COLUMN(H:H)&lt;=SUM(--($B$3:$L$3&lt;&gt;""))+1,INDEX($B$3:$L$3,0,SMALL(IF($B$3:$L$3&lt;&gt;"",COLUMN($B$3:$L$3)-1,""),COLUMN(H:H)-1)),"")</f>
        <v/>
      </c>
      <c r="I5">
        <v>8</v>
      </c>
      <c r="J5" t="str">
        <f ca="1">IF(COLUMN(J:J)&lt;=SUM(--($B$3:$L$3&lt;&gt;""))+1,INDEX($B$3:$L$3,0,SMALL(IF($B$3:$L$3&lt;&gt;"",COLUMN($B$3:$L$3)-1,""),COLUMN(J:J)-1)),"")</f>
        <v/>
      </c>
      <c r="K5" t="str">
        <f ca="1">IF(COLUMN(K:K)&lt;=SUM(--($B$3:$L$3&lt;&gt;""))+1,INDEX($B$3:$L$3,0,SMALL(IF($B$3:$L$3&lt;&gt;"",COLUMN($B$3:$L$3)-1,""),COLUMN(K:K)-1)),"")</f>
        <v/>
      </c>
      <c r="L5" t="str">
        <f>IF(COLUMN(L:L)&lt;=SUM(--($B$3:$L$3&lt;&gt;""))+1,INDEX($B$3:$L$3,0,SMALL(IF($B$3:$L$3&lt;&gt;"",COLUMN($B$3:$L$3)-1,""),COLUMN(L:L)-1)),"")</f>
        <v/>
      </c>
      <c r="M5">
        <v>2</v>
      </c>
      <c r="N5">
        <v>5</v>
      </c>
      <c r="T5" s="4" t="str">
        <f>IF(ISNUMBER(B5)=TRUE,CONCATENATE($B$2,"(",B5,")")&amp;CHAR(10)&amp;CONCATENATE($C$2,"(",C6,")"),"")</f>
        <v>A(5)
B()</v>
      </c>
      <c r="U5" t="str">
        <f t="shared" si="0"/>
        <v>A(2)</v>
      </c>
    </row>
    <row r="6" spans="1:24">
      <c r="A6" s="3">
        <v>43973</v>
      </c>
      <c r="D6" t="str">
        <f>IF(COLUMN(D:D)&lt;=SUM(--($B$3:$L$3&lt;&gt;""))+1,INDEX($B$3:$L$3,0,SMALL(IF($B$3:$L$3&lt;&gt;"",COLUMN($B$3:$L$3)-1,""),COLUMN(D:D)-1)),"")</f>
        <v/>
      </c>
      <c r="E6" t="str">
        <f>IF(COLUMN(E:E)&lt;=SUM(--($B$3:$L$3&lt;&gt;""))+1,INDEX($B$3:$L$3,0,SMALL(IF($B$3:$L$3&lt;&gt;"",COLUMN($B$3:$L$3)-1,""),COLUMN(E:E)-1)),"")</f>
        <v/>
      </c>
      <c r="F6" t="str">
        <f>IF(COLUMN(F:F)&lt;=SUM(--($B$3:$L$3&lt;&gt;""))+1,INDEX($B$3:$L$3,0,SMALL(IF($B$3:$L$3&lt;&gt;"",COLUMN($B$3:$L$3)-1,""),COLUMN(F:F)-1)),"")</f>
        <v/>
      </c>
      <c r="H6" t="str">
        <f>IF(COLUMN(H:H)&lt;=SUM(--($B$3:$L$3&lt;&gt;""))+1,INDEX($B$3:$L$3,0,SMALL(IF($B$3:$L$3&lt;&gt;"",COLUMN($B$3:$L$3)-1,""),COLUMN(H:H)-1)),"")</f>
        <v/>
      </c>
      <c r="I6">
        <v>10</v>
      </c>
      <c r="J6" t="str">
        <f ca="1">IF(COLUMN(J:J)&lt;=SUM(--($B$3:$L$3&lt;&gt;""))+1,INDEX($B$3:$L$3,0,SMALL(IF($B$3:$L$3&lt;&gt;"",COLUMN($B$3:$L$3)-1,""),COLUMN(J:J)-1)),"")</f>
        <v/>
      </c>
      <c r="K6" t="str">
        <f ca="1">IF(COLUMN(K:K)&lt;=SUM(--($B$3:$L$3&lt;&gt;""))+1,INDEX($B$3:$L$3,0,SMALL(IF($B$3:$L$3&lt;&gt;"",COLUMN($B$3:$L$3)-1,""),COLUMN(K:K)-1)),"")</f>
        <v/>
      </c>
      <c r="L6" t="str">
        <f>IF(COLUMN(L:L)&lt;=SUM(--($B$3:$L$3&lt;&gt;""))+1,INDEX($B$3:$L$3,0,SMALL(IF($B$3:$L$3&lt;&gt;"",COLUMN($B$3:$L$3)-1,""),COLUMN(L:L)-1)),"")</f>
        <v/>
      </c>
      <c r="N6">
        <v>10</v>
      </c>
      <c r="T6" t="str">
        <f t="shared" si="0"/>
        <v/>
      </c>
    </row>
    <row r="7" spans="1:24">
      <c r="A7" s="3">
        <v>43974</v>
      </c>
      <c r="C7" t="str">
        <f>IF(COLUMN(C:C)&lt;=SUM(--($B$3:$L$3&lt;&gt;""))+1,INDEX($B$3:$L$3,0,SMALL(IF($B$3:$L$3&lt;&gt;"",COLUMN($B$3:$L$3)-1,""),COLUMN(C:C)-1)),"")</f>
        <v/>
      </c>
      <c r="D7">
        <v>8</v>
      </c>
      <c r="E7" t="str">
        <f>IF(COLUMN(E:E)&lt;=SUM(--($B$3:$L$3&lt;&gt;""))+1,INDEX($B$3:$L$3,0,SMALL(IF($B$3:$L$3&lt;&gt;"",COLUMN($B$3:$L$3)-1,""),COLUMN(E:E)-1)),"")</f>
        <v/>
      </c>
      <c r="F7" t="str">
        <f>IF(COLUMN(F:F)&lt;=SUM(--($B$3:$L$3&lt;&gt;""))+1,INDEX($B$3:$L$3,0,SMALL(IF($B$3:$L$3&lt;&gt;"",COLUMN($B$3:$L$3)-1,""),COLUMN(F:F)-1)),"")</f>
        <v/>
      </c>
      <c r="H7" t="str">
        <f>IF(COLUMN(H:H)&lt;=SUM(--($B$3:$L$3&lt;&gt;""))+1,INDEX($B$3:$L$3,0,SMALL(IF($B$3:$L$3&lt;&gt;"",COLUMN($B$3:$L$3)-1,""),COLUMN(H:H)-1)),"")</f>
        <v/>
      </c>
      <c r="I7">
        <v>4</v>
      </c>
      <c r="J7">
        <v>3</v>
      </c>
      <c r="K7" t="str">
        <f ca="1">IF(COLUMN(K:K)&lt;=SUM(--($B$3:$L$3&lt;&gt;""))+1,INDEX($B$3:$L$3,0,SMALL(IF($B$3:$L$3&lt;&gt;"",COLUMN($B$3:$L$3)-1,""),COLUMN(K:K)-1)),"")</f>
        <v/>
      </c>
      <c r="L7" t="str">
        <f>IF(COLUMN(L:L)&lt;=SUM(--($B$3:$L$3&lt;&gt;""))+1,INDEX($B$3:$L$3,0,SMALL(IF($B$3:$L$3&lt;&gt;"",COLUMN($B$3:$L$3)-1,""),COLUMN(L:L)-1)),"")</f>
        <v/>
      </c>
      <c r="O7">
        <v>6</v>
      </c>
      <c r="T7" t="str">
        <f t="shared" si="0"/>
        <v/>
      </c>
    </row>
    <row r="8" spans="1:24">
      <c r="A8" s="3">
        <v>43975</v>
      </c>
      <c r="C8" t="str">
        <f>IF(COLUMN(C:C)&lt;=SUM(--($B$3:$L$3&lt;&gt;""))+1,INDEX($B$3:$L$3,0,SMALL(IF($B$3:$L$3&lt;&gt;"",COLUMN($B$3:$L$3)-1,""),COLUMN(C:C)-1)),"")</f>
        <v/>
      </c>
      <c r="D8">
        <v>10</v>
      </c>
      <c r="E8" t="str">
        <f>IF(COLUMN(E:E)&lt;=SUM(--($B$3:$L$3&lt;&gt;""))+1,INDEX($B$3:$L$3,0,SMALL(IF($B$3:$L$3&lt;&gt;"",COLUMN($B$3:$L$3)-1,""),COLUMN(E:E)-1)),"")</f>
        <v/>
      </c>
      <c r="F8" t="str">
        <f>IF(COLUMN(F:F)&lt;=SUM(--($B$3:$L$3&lt;&gt;""))+1,INDEX($B$3:$L$3,0,SMALL(IF($B$3:$L$3&lt;&gt;"",COLUMN($B$3:$L$3)-1,""),COLUMN(F:F)-1)),"")</f>
        <v/>
      </c>
      <c r="H8" t="str">
        <f>IF(COLUMN(H:H)&lt;=SUM(--($B$3:$L$3&lt;&gt;""))+1,INDEX($B$3:$L$3,0,SMALL(IF($B$3:$L$3&lt;&gt;"",COLUMN($B$3:$L$3)-1,""),COLUMN(H:H)-1)),"")</f>
        <v/>
      </c>
      <c r="I8" t="str">
        <f ca="1">IF(COLUMN(I:I)&lt;=SUM(--($B$3:$L$3&lt;&gt;""))+1,INDEX($B$3:$L$3,0,SMALL(IF($B$3:$L$3&lt;&gt;"",COLUMN($B$3:$L$3)-1,""),COLUMN(I:I)-1)),"")</f>
        <v/>
      </c>
      <c r="J8">
        <v>10</v>
      </c>
      <c r="K8" t="str">
        <f ca="1">IF(COLUMN(K:K)&lt;=SUM(--($B$3:$L$3&lt;&gt;""))+1,INDEX($B$3:$L$3,0,SMALL(IF($B$3:$L$3&lt;&gt;"",COLUMN($B$3:$L$3)-1,""),COLUMN(K:K)-1)),"")</f>
        <v/>
      </c>
      <c r="L8" t="str">
        <f>IF(COLUMN(L:L)&lt;=SUM(--($B$3:$L$3&lt;&gt;""))+1,INDEX($B$3:$L$3,0,SMALL(IF($B$3:$L$3&lt;&gt;"",COLUMN($B$3:$L$3)-1,""),COLUMN(L:L)-1)),"")</f>
        <v/>
      </c>
      <c r="O8">
        <v>10</v>
      </c>
      <c r="T8" t="str">
        <f t="shared" ref="T4:T11" si="1">IF(ISNUMBER(B8)=TRUE,$B$2,"")</f>
        <v/>
      </c>
    </row>
    <row r="9" spans="1:24">
      <c r="A9" s="3">
        <v>43976</v>
      </c>
      <c r="C9" t="str">
        <f>IF(COLUMN(C:C)&lt;=SUM(--($B$3:$L$3&lt;&gt;""))+1,INDEX($B$3:$L$3,0,SMALL(IF($B$3:$L$3&lt;&gt;"",COLUMN($B$3:$L$3)-1,""),COLUMN(C:C)-1)),"")</f>
        <v/>
      </c>
      <c r="D9">
        <v>4</v>
      </c>
      <c r="E9">
        <v>3</v>
      </c>
      <c r="F9" t="str">
        <f>IF(COLUMN(F:F)&lt;=SUM(--($B$3:$L$3&lt;&gt;""))+1,INDEX($B$3:$L$3,0,SMALL(IF($B$3:$L$3&lt;&gt;"",COLUMN($B$3:$L$3)-1,""),COLUMN(F:F)-1)),"")</f>
        <v/>
      </c>
      <c r="H9" t="str">
        <f>IF(COLUMN(H:H)&lt;=SUM(--($B$3:$L$3&lt;&gt;""))+1,INDEX($B$3:$L$3,0,SMALL(IF($B$3:$L$3&lt;&gt;"",COLUMN($B$3:$L$3)-1,""),COLUMN(H:H)-1)),"")</f>
        <v/>
      </c>
      <c r="I9" t="str">
        <f ca="1">IF(COLUMN(I:I)&lt;=SUM(--($B$3:$L$3&lt;&gt;""))+1,INDEX($B$3:$L$3,0,SMALL(IF($B$3:$L$3&lt;&gt;"",COLUMN($B$3:$L$3)-1,""),COLUMN(I:I)-1)),"")</f>
        <v/>
      </c>
      <c r="J9" t="str">
        <f ca="1">IF(COLUMN(J:J)&lt;=SUM(--($B$3:$L$3&lt;&gt;""))+1,INDEX($B$3:$L$3,0,SMALL(IF($B$3:$L$3&lt;&gt;"",COLUMN($B$3:$L$3)-1,""),COLUMN(J:J)-1)),"")</f>
        <v/>
      </c>
      <c r="K9">
        <v>7</v>
      </c>
      <c r="L9" t="str">
        <f>IF(COLUMN(L:L)&lt;=SUM(--($B$3:$L$3&lt;&gt;""))+1,INDEX($B$3:$L$3,0,SMALL(IF($B$3:$L$3&lt;&gt;"",COLUMN($B$3:$L$3)-1,""),COLUMN(L:L)-1)),"")</f>
        <v/>
      </c>
      <c r="O9">
        <v>10</v>
      </c>
      <c r="T9" t="str">
        <f t="shared" si="1"/>
        <v/>
      </c>
    </row>
    <row r="10" spans="1:24">
      <c r="A10" s="3">
        <v>43977</v>
      </c>
      <c r="C10" t="str">
        <f>IF(COLUMN(C:C)&lt;=SUM(--($B$3:$L$3&lt;&gt;""))+1,INDEX($B$3:$L$3,0,SMALL(IF($B$3:$L$3&lt;&gt;"",COLUMN($B$3:$L$3)-1,""),COLUMN(C:C)-1)),"")</f>
        <v/>
      </c>
      <c r="D10" t="str">
        <f>IF(COLUMN(D:D)&lt;=SUM(--($B$3:$L$3&lt;&gt;""))+1,INDEX($B$3:$L$3,0,SMALL(IF($B$3:$L$3&lt;&gt;"",COLUMN($B$3:$L$3)-1,""),COLUMN(D:D)-1)),"")</f>
        <v/>
      </c>
      <c r="E10">
        <v>10</v>
      </c>
      <c r="F10" t="str">
        <f>IF(COLUMN(F:F)&lt;=SUM(--($B$3:$L$3&lt;&gt;""))+1,INDEX($B$3:$L$3,0,SMALL(IF($B$3:$L$3&lt;&gt;"",COLUMN($B$3:$L$3)-1,""),COLUMN(F:F)-1)),"")</f>
        <v/>
      </c>
      <c r="H10" t="str">
        <f>IF(COLUMN(H:H)&lt;=SUM(--($B$3:$L$3&lt;&gt;""))+1,INDEX($B$3:$L$3,0,SMALL(IF($B$3:$L$3&lt;&gt;"",COLUMN($B$3:$L$3)-1,""),COLUMN(H:H)-1)),"")</f>
        <v/>
      </c>
      <c r="I10" t="str">
        <f ca="1">IF(COLUMN(I:I)&lt;=SUM(--($B$3:$L$3&lt;&gt;""))+1,INDEX($B$3:$L$3,0,SMALL(IF($B$3:$L$3&lt;&gt;"",COLUMN($B$3:$L$3)-1,""),COLUMN(I:I)-1)),"")</f>
        <v/>
      </c>
      <c r="K10">
        <v>10</v>
      </c>
      <c r="L10" t="str">
        <f>IF(COLUMN(L:L)&lt;=SUM(--($B$3:$L$3&lt;&gt;""))+1,INDEX($B$3:$L$3,0,SMALL(IF($B$3:$L$3&lt;&gt;"",COLUMN($B$3:$L$3)-1,""),COLUMN(L:L)-1)),"")</f>
        <v/>
      </c>
      <c r="P10">
        <v>7</v>
      </c>
      <c r="T10" t="str">
        <f t="shared" si="1"/>
        <v/>
      </c>
    </row>
    <row r="11" spans="1:24">
      <c r="A11" s="3">
        <v>43978</v>
      </c>
      <c r="C11" t="str">
        <f>IF(COLUMN(C:C)&lt;=SUM(--($B$3:$L$3&lt;&gt;""))+1,INDEX($B$3:$L$3,0,SMALL(IF($B$3:$L$3&lt;&gt;"",COLUMN($B$3:$L$3)-1,""),COLUMN(C:C)-1)),"")</f>
        <v/>
      </c>
      <c r="D11" t="str">
        <f>IF(COLUMN(D:D)&lt;=SUM(--($B$3:$L$3&lt;&gt;""))+1,INDEX($B$3:$L$3,0,SMALL(IF($B$3:$L$3&lt;&gt;"",COLUMN($B$3:$L$3)-1,""),COLUMN(D:D)-1)),"")</f>
        <v/>
      </c>
      <c r="E11" t="str">
        <f>IF(COLUMN(E:E)&lt;=SUM(--($B$3:$L$3&lt;&gt;""))+1,INDEX($B$3:$L$3,0,SMALL(IF($B$3:$L$3&lt;&gt;"",COLUMN($B$3:$L$3)-1,""),COLUMN(E:E)-1)),"")</f>
        <v/>
      </c>
      <c r="F11">
        <v>7</v>
      </c>
      <c r="H11" t="str">
        <f>IF(COLUMN(H:H)&lt;=SUM(--($B$3:$L$3&lt;&gt;""))+1,INDEX($B$3:$L$3,0,SMALL(IF($B$3:$L$3&lt;&gt;"",COLUMN($B$3:$L$3)-1,""),COLUMN(H:H)-1)),"")</f>
        <v/>
      </c>
      <c r="I11" t="str">
        <f ca="1">IF(COLUMN(I:I)&lt;=SUM(--($B$3:$L$3&lt;&gt;""))+1,INDEX($B$3:$L$3,0,SMALL(IF($B$3:$L$3&lt;&gt;"",COLUMN($B$3:$L$3)-1,""),COLUMN(I:I)-1)),"")</f>
        <v/>
      </c>
      <c r="K11">
        <v>10</v>
      </c>
      <c r="L11" t="str">
        <f>IF(COLUMN(L:L)&lt;=SUM(--($B$3:$L$3&lt;&gt;""))+1,INDEX($B$3:$L$3,0,SMALL(IF($B$3:$L$3&lt;&gt;"",COLUMN($B$3:$L$3)-1,""),COLUMN(L:L)-1)),"")</f>
        <v/>
      </c>
      <c r="P11">
        <v>10</v>
      </c>
    </row>
    <row r="12" spans="1:24">
      <c r="B12" t="b">
        <f>ISNUMBER(B2)</f>
        <v>0</v>
      </c>
      <c r="C12" t="str">
        <f>IF(COLUMN(C:C)&lt;=SUM(--($B$3:$L$3&lt;&gt;""))+1,INDEX($B$3:$L$3,0,SMALL(IF($B$3:$L$3&lt;&gt;"",COLUMN($B$3:$L$3)-1,""),COLUMN(C:C)-1)),"")</f>
        <v/>
      </c>
      <c r="D12" t="str">
        <f>IF(COLUMN(D:D)&lt;=SUM(--($B$3:$L$3&lt;&gt;""))+1,INDEX($B$3:$L$3,0,SMALL(IF($B$3:$L$3&lt;&gt;"",COLUMN($B$3:$L$3)-1,""),COLUMN(D:D)-1)),"")</f>
        <v/>
      </c>
      <c r="E12" t="str">
        <f>IF(COLUMN(E:E)&lt;=SUM(--($B$3:$L$3&lt;&gt;""))+1,INDEX($B$3:$L$3,0,SMALL(IF($B$3:$L$3&lt;&gt;"",COLUMN($B$3:$L$3)-1,""),COLUMN(E:E)-1)),"")</f>
        <v/>
      </c>
      <c r="F12" t="str">
        <f>IF(COLUMN(F:F)&lt;=SUM(--($B$3:$L$3&lt;&gt;""))+1,INDEX($B$3:$L$3,0,SMALL(IF($B$3:$L$3&lt;&gt;"",COLUMN($B$3:$L$3)-1,""),COLUMN(F:F)-1)),"")</f>
        <v/>
      </c>
      <c r="G12" t="str">
        <f>IF(COLUMN(G:G)&lt;=SUM(--($B$3:$L$3&lt;&gt;""))+1,INDEX($B$3:$L$3,0,SMALL(IF($B$3:$L$3&lt;&gt;"",COLUMN($B$3:$L$3)-1,""),COLUMN(G:G)-1)),"")</f>
        <v/>
      </c>
      <c r="H12" t="str">
        <f>IF(COLUMN(H:H)&lt;=SUM(--($B$3:$L$3&lt;&gt;""))+1,INDEX($B$3:$L$3,0,SMALL(IF($B$3:$L$3&lt;&gt;"",COLUMN($B$3:$L$3)-1,""),COLUMN(H:H)-1)),"")</f>
        <v/>
      </c>
      <c r="I12" t="str">
        <f ca="1">IF(COLUMN(I:I)&lt;=SUM(--($B$3:$L$3&lt;&gt;""))+1,INDEX($B$3:$L$3,0,SMALL(IF($B$3:$L$3&lt;&gt;"",COLUMN($B$3:$L$3)-1,""),COLUMN(I:I)-1)),"")</f>
        <v/>
      </c>
      <c r="J12" t="str">
        <f ca="1">IF(COLUMN(J:J)&lt;=SUM(--($B$3:$L$3&lt;&gt;""))+1,INDEX($B$3:$L$3,0,SMALL(IF($B$3:$L$3&lt;&gt;"",COLUMN($B$3:$L$3)-1,""),COLUMN(J:J)-1)),"")</f>
        <v/>
      </c>
      <c r="K12" t="str">
        <f ca="1">IF(COLUMN(K:K)&lt;=SUM(--($B$3:$L$3&lt;&gt;""))+1,INDEX($B$3:$L$3,0,SMALL(IF($B$3:$L$3&lt;&gt;"",COLUMN($B$3:$L$3)-1,""),COLUMN(K:K)-1)),"")</f>
        <v/>
      </c>
      <c r="L12" t="str">
        <f>IF(COLUMN(L:L)&lt;=SUM(--($B$3:$L$3&lt;&gt;""))+1,INDEX($B$3:$L$3,0,SMALL(IF($B$3:$L$3&lt;&gt;"",COLUMN($B$3:$L$3)-1,""),COLUMN(L:L)-1)),"")</f>
        <v/>
      </c>
      <c r="T12" s="5" t="s">
        <v>54</v>
      </c>
    </row>
    <row r="13" spans="1:24">
      <c r="B13" t="b">
        <f>ISNUMBER(B3)</f>
        <v>1</v>
      </c>
      <c r="C13" t="b">
        <f>ISNUMBER(C3)</f>
        <v>1</v>
      </c>
      <c r="D13" t="b">
        <f>ISNUMBER(D3)</f>
        <v>0</v>
      </c>
      <c r="E13" t="str">
        <f>IF(COLUMN(E:E)&lt;=SUM(--($B$3:$L$3&lt;&gt;""))+1,INDEX($B$3:$L$3,0,SMALL(IF($B$3:$L$3&lt;&gt;"",COLUMN($B$3:$L$3)-1,""),COLUMN(E:E)-1)),"")</f>
        <v/>
      </c>
      <c r="F13" t="str">
        <f>IF(COLUMN(F:F)&lt;=SUM(--($B$3:$L$3&lt;&gt;""))+1,INDEX($B$3:$L$3,0,SMALL(IF($B$3:$L$3&lt;&gt;"",COLUMN($B$3:$L$3)-1,""),COLUMN(F:F)-1)),"")</f>
        <v/>
      </c>
      <c r="G13" t="str">
        <f>IF(COLUMN(G:G)&lt;=SUM(--($B$3:$L$3&lt;&gt;""))+1,INDEX($B$3:$L$3,0,SMALL(IF($B$3:$L$3&lt;&gt;"",COLUMN($B$3:$L$3)-1,""),COLUMN(G:G)-1)),"")</f>
        <v/>
      </c>
      <c r="H13" t="str">
        <f>IF(COLUMN(H:H)&lt;=SUM(--($B$3:$L$3&lt;&gt;""))+1,INDEX($B$3:$L$3,0,SMALL(IF($B$3:$L$3&lt;&gt;"",COLUMN($B$3:$L$3)-1,""),COLUMN(H:H)-1)),"")</f>
        <v/>
      </c>
      <c r="I13" t="str">
        <f ca="1">IF(COLUMN(I:I)&lt;=SUM(--($B$3:$L$3&lt;&gt;""))+1,INDEX($B$3:$L$3,0,SMALL(IF($B$3:$L$3&lt;&gt;"",COLUMN($B$3:$L$3)-1,""),COLUMN(I:I)-1)),"")</f>
        <v/>
      </c>
      <c r="J13" t="str">
        <f ca="1">IF(COLUMN(J:J)&lt;=SUM(--($B$3:$L$3&lt;&gt;""))+1,INDEX($B$3:$L$3,0,SMALL(IF($B$3:$L$3&lt;&gt;"",COLUMN($B$3:$L$3)-1,""),COLUMN(J:J)-1)),"")</f>
        <v/>
      </c>
      <c r="K13" t="str">
        <f ca="1">IF(COLUMN(K:K)&lt;=SUM(--($B$3:$L$3&lt;&gt;""))+1,INDEX($B$3:$L$3,0,SMALL(IF($B$3:$L$3&lt;&gt;"",COLUMN($B$3:$L$3)-1,""),COLUMN(K:K)-1)),"")</f>
        <v/>
      </c>
      <c r="L13" t="str">
        <f>IF(COLUMN(L:L)&lt;=SUM(--($B$3:$L$3&lt;&gt;""))+1,INDEX($B$3:$L$3,0,SMALL(IF($B$3:$L$3&lt;&gt;"",COLUMN($B$3:$L$3)-1,""),COLUMN(L:L)-1)),"")</f>
        <v/>
      </c>
    </row>
    <row r="14" spans="1:24" ht="64.5" customHeight="1">
      <c r="B14" t="b">
        <f t="shared" ref="B14:D14" si="2">ISNUMBER(B4)</f>
        <v>1</v>
      </c>
      <c r="C14" t="b">
        <f t="shared" si="2"/>
        <v>1</v>
      </c>
      <c r="D14" t="b">
        <f t="shared" si="2"/>
        <v>1</v>
      </c>
      <c r="E14" t="str">
        <f>IF(COLUMN(E:E)&lt;=SUM(--($B$3:$L$3&lt;&gt;""))+1,INDEX($B$3:$L$3,0,SMALL(IF($B$3:$L$3&lt;&gt;"",COLUMN($B$3:$L$3)-1,""),COLUMN(E:E)-1)),"")</f>
        <v/>
      </c>
      <c r="F14" t="str">
        <f>IF(COLUMN(F:F)&lt;=SUM(--($B$3:$L$3&lt;&gt;""))+1,INDEX($B$3:$L$3,0,SMALL(IF($B$3:$L$3&lt;&gt;"",COLUMN($B$3:$L$3)-1,""),COLUMN(F:F)-1)),"")</f>
        <v/>
      </c>
      <c r="G14" t="str">
        <f>IF(COLUMN(G:G)&lt;=SUM(--($B$3:$L$3&lt;&gt;""))+1,INDEX($B$3:$L$3,0,SMALL(IF($B$3:$L$3&lt;&gt;"",COLUMN($B$3:$L$3)-1,""),COLUMN(G:G)-1)),"")</f>
        <v/>
      </c>
      <c r="H14" t="str">
        <f>IF(COLUMN(H:H)&lt;=SUM(--($B$3:$L$3&lt;&gt;""))+1,INDEX($B$3:$L$3,0,SMALL(IF($B$3:$L$3&lt;&gt;"",COLUMN($B$3:$L$3)-1,""),COLUMN(H:H)-1)),"")</f>
        <v/>
      </c>
      <c r="I14" t="str">
        <f ca="1">IF(COLUMN(I:I)&lt;=SUM(--($B$3:$L$3&lt;&gt;""))+1,INDEX($B$3:$L$3,0,SMALL(IF($B$3:$L$3&lt;&gt;"",COLUMN($B$3:$L$3)-1,""),COLUMN(I:I)-1)),"")</f>
        <v/>
      </c>
      <c r="J14" t="str">
        <f ca="1">IF(COLUMN(J:J)&lt;=SUM(--($B$3:$L$3&lt;&gt;""))+1,INDEX($B$3:$L$3,0,SMALL(IF($B$3:$L$3&lt;&gt;"",COLUMN($B$3:$L$3)-1,""),COLUMN(J:J)-1)),"")</f>
        <v/>
      </c>
      <c r="K14" t="str">
        <f ca="1">IF(COLUMN(K:K)&lt;=SUM(--($B$3:$L$3&lt;&gt;""))+1,INDEX($B$3:$L$3,0,SMALL(IF($B$3:$L$3&lt;&gt;"",COLUMN($B$3:$L$3)-1,""),COLUMN(K:K)-1)),"")</f>
        <v/>
      </c>
      <c r="L14" t="str">
        <f>IF(COLUMN(L:L)&lt;=SUM(--($B$3:$L$3&lt;&gt;""))+1,INDEX($B$3:$L$3,0,SMALL(IF($B$3:$L$3&lt;&gt;"",COLUMN($B$3:$L$3)-1,""),COLUMN(L:L)-1)),"")</f>
        <v/>
      </c>
      <c r="S14" s="4" t="str">
        <f>"this is test " &amp; CHAR(10)&amp;"Hi wood"</f>
        <v>this is test 
Hi wood</v>
      </c>
    </row>
    <row r="15" spans="1:24">
      <c r="B15" t="b">
        <f t="shared" ref="B15:D16" si="3">ISNUMBER(B5)</f>
        <v>1</v>
      </c>
      <c r="C15" t="b">
        <f t="shared" si="3"/>
        <v>1</v>
      </c>
      <c r="D15" t="b">
        <f t="shared" si="3"/>
        <v>1</v>
      </c>
      <c r="E15" t="str">
        <f>IF(COLUMN(E:E)&lt;=SUM(--($B$3:$L$3&lt;&gt;""))+1,INDEX($B$3:$L$3,0,SMALL(IF($B$3:$L$3&lt;&gt;"",COLUMN($B$3:$L$3)-1,""),COLUMN(E:E)-1)),"")</f>
        <v/>
      </c>
      <c r="F15" t="str">
        <f>IF(COLUMN(F:F)&lt;=SUM(--($B$3:$L$3&lt;&gt;""))+1,INDEX($B$3:$L$3,0,SMALL(IF($B$3:$L$3&lt;&gt;"",COLUMN($B$3:$L$3)-1,""),COLUMN(F:F)-1)),"")</f>
        <v/>
      </c>
      <c r="G15" t="str">
        <f>IF(COLUMN(G:G)&lt;=SUM(--($B$3:$L$3&lt;&gt;""))+1,INDEX($B$3:$L$3,0,SMALL(IF($B$3:$L$3&lt;&gt;"",COLUMN($B$3:$L$3)-1,""),COLUMN(G:G)-1)),"")</f>
        <v/>
      </c>
      <c r="H15" t="str">
        <f>IF(COLUMN(H:H)&lt;=SUM(--($B$3:$L$3&lt;&gt;""))+1,INDEX($B$3:$L$3,0,SMALL(IF($B$3:$L$3&lt;&gt;"",COLUMN($B$3:$L$3)-1,""),COLUMN(H:H)-1)),"")</f>
        <v/>
      </c>
      <c r="I15" t="str">
        <f ca="1">IF(COLUMN(I:I)&lt;=SUM(--($B$3:$L$3&lt;&gt;""))+1,INDEX($B$3:$L$3,0,SMALL(IF($B$3:$L$3&lt;&gt;"",COLUMN($B$3:$L$3)-1,""),COLUMN(I:I)-1)),"")</f>
        <v/>
      </c>
      <c r="J15" t="str">
        <f ca="1">IF(COLUMN(J:J)&lt;=SUM(--($B$3:$L$3&lt;&gt;""))+1,INDEX($B$3:$L$3,0,SMALL(IF($B$3:$L$3&lt;&gt;"",COLUMN($B$3:$L$3)-1,""),COLUMN(J:J)-1)),"")</f>
        <v/>
      </c>
      <c r="K15" t="str">
        <f ca="1">IF(COLUMN(K:K)&lt;=SUM(--($B$3:$L$3&lt;&gt;""))+1,INDEX($B$3:$L$3,0,SMALL(IF($B$3:$L$3&lt;&gt;"",COLUMN($B$3:$L$3)-1,""),COLUMN(K:K)-1)),"")</f>
        <v/>
      </c>
      <c r="L15" t="str">
        <f>IF(COLUMN(L:L)&lt;=SUM(--($B$3:$L$3&lt;&gt;""))+1,INDEX($B$3:$L$3,0,SMALL(IF($B$3:$L$3&lt;&gt;"",COLUMN($B$3:$L$3)-1,""),COLUMN(L:L)-1)),"")</f>
        <v/>
      </c>
    </row>
    <row r="16" spans="1:24">
      <c r="B16" t="b">
        <f t="shared" si="3"/>
        <v>0</v>
      </c>
      <c r="C16" t="b">
        <f t="shared" si="3"/>
        <v>0</v>
      </c>
      <c r="D16" t="b">
        <f t="shared" si="3"/>
        <v>0</v>
      </c>
      <c r="E16" t="str">
        <f>IF(COLUMN(E:E)&lt;=SUM(--($B$3:$L$3&lt;&gt;""))+1,INDEX($B$3:$L$3,0,SMALL(IF($B$3:$L$3&lt;&gt;"",COLUMN($B$3:$L$3)-1,""),COLUMN(E:E)-1)),"")</f>
        <v/>
      </c>
      <c r="F16" t="str">
        <f>IF(COLUMN(F:F)&lt;=SUM(--($B$3:$L$3&lt;&gt;""))+1,INDEX($B$3:$L$3,0,SMALL(IF($B$3:$L$3&lt;&gt;"",COLUMN($B$3:$L$3)-1,""),COLUMN(F:F)-1)),"")</f>
        <v/>
      </c>
      <c r="G16" t="str">
        <f>IF(COLUMN(G:G)&lt;=SUM(--($B$3:$L$3&lt;&gt;""))+1,INDEX($B$3:$L$3,0,SMALL(IF($B$3:$L$3&lt;&gt;"",COLUMN($B$3:$L$3)-1,""),COLUMN(G:G)-1)),"")</f>
        <v/>
      </c>
      <c r="H16" t="str">
        <f>IF(COLUMN(H:H)&lt;=SUM(--($B$3:$L$3&lt;&gt;""))+1,INDEX($B$3:$L$3,0,SMALL(IF($B$3:$L$3&lt;&gt;"",COLUMN($B$3:$L$3)-1,""),COLUMN(H:H)-1)),"")</f>
        <v/>
      </c>
      <c r="I16" t="str">
        <f ca="1">IF(COLUMN(I:I)&lt;=SUM(--($B$3:$L$3&lt;&gt;""))+1,INDEX($B$3:$L$3,0,SMALL(IF($B$3:$L$3&lt;&gt;"",COLUMN($B$3:$L$3)-1,""),COLUMN(I:I)-1)),"")</f>
        <v/>
      </c>
      <c r="J16" t="str">
        <f ca="1">IF(COLUMN(J:J)&lt;=SUM(--($B$3:$L$3&lt;&gt;""))+1,INDEX($B$3:$L$3,0,SMALL(IF($B$3:$L$3&lt;&gt;"",COLUMN($B$3:$L$3)-1,""),COLUMN(J:J)-1)),"")</f>
        <v/>
      </c>
      <c r="K16" t="str">
        <f ca="1">IF(COLUMN(K:K)&lt;=SUM(--($B$3:$L$3&lt;&gt;""))+1,INDEX($B$3:$L$3,0,SMALL(IF($B$3:$L$3&lt;&gt;"",COLUMN($B$3:$L$3)-1,""),COLUMN(K:K)-1)),"")</f>
        <v/>
      </c>
      <c r="L16" t="str">
        <f>IF(COLUMN(L:L)&lt;=SUM(--($B$3:$L$3&lt;&gt;""))+1,INDEX($B$3:$L$3,0,SMALL(IF($B$3:$L$3&lt;&gt;"",COLUMN($B$3:$L$3)-1,""),COLUMN(L:L)-1)),"")</f>
        <v/>
      </c>
    </row>
    <row r="17" spans="2:13">
      <c r="C17" t="str">
        <f>IF(COLUMN(C:C)&lt;=SUM(--($B$3:$L$3&lt;&gt;""))+1,INDEX($B$3:$L$3,0,SMALL(IF($B$3:$L$3&lt;&gt;"",COLUMN($B$3:$L$3)-1,""),COLUMN(C:C)-1)),"")</f>
        <v/>
      </c>
      <c r="D17" t="str">
        <f>IF(COLUMN(D:D)&lt;=SUM(--($B$3:$L$3&lt;&gt;""))+1,INDEX($B$3:$L$3,0,SMALL(IF($B$3:$L$3&lt;&gt;"",COLUMN($B$3:$L$3)-1,""),COLUMN(D:D)-1)),"")</f>
        <v/>
      </c>
      <c r="E17" t="str">
        <f>IF(COLUMN(E:E)&lt;=SUM(--($B$3:$L$3&lt;&gt;""))+1,INDEX($B$3:$L$3,0,SMALL(IF($B$3:$L$3&lt;&gt;"",COLUMN($B$3:$L$3)-1,""),COLUMN(E:E)-1)),"")</f>
        <v/>
      </c>
      <c r="F17" t="str">
        <f>IF(COLUMN(F:F)&lt;=SUM(--($B$3:$L$3&lt;&gt;""))+1,INDEX($B$3:$L$3,0,SMALL(IF($B$3:$L$3&lt;&gt;"",COLUMN($B$3:$L$3)-1,""),COLUMN(F:F)-1)),"")</f>
        <v/>
      </c>
      <c r="G17" t="str">
        <f>IF(COLUMN(G:G)&lt;=SUM(--($B$3:$L$3&lt;&gt;""))+1,INDEX($B$3:$L$3,0,SMALL(IF($B$3:$L$3&lt;&gt;"",COLUMN($B$3:$L$3)-1,""),COLUMN(G:G)-1)),"")</f>
        <v/>
      </c>
      <c r="H17" t="str">
        <f>IF(COLUMN(H:H)&lt;=SUM(--($B$3:$L$3&lt;&gt;""))+1,INDEX($B$3:$L$3,0,SMALL(IF($B$3:$L$3&lt;&gt;"",COLUMN($B$3:$L$3)-1,""),COLUMN(H:H)-1)),"")</f>
        <v/>
      </c>
      <c r="I17" t="str">
        <f ca="1">IF(COLUMN(I:I)&lt;=SUM(--($B$3:$L$3&lt;&gt;""))+1,INDEX($B$3:$L$3,0,SMALL(IF($B$3:$L$3&lt;&gt;"",COLUMN($B$3:$L$3)-1,""),COLUMN(I:I)-1)),"")</f>
        <v/>
      </c>
      <c r="J17" t="str">
        <f ca="1">IF(COLUMN(J:J)&lt;=SUM(--($B$3:$L$3&lt;&gt;""))+1,INDEX($B$3:$L$3,0,SMALL(IF($B$3:$L$3&lt;&gt;"",COLUMN($B$3:$L$3)-1,""),COLUMN(J:J)-1)),"")</f>
        <v/>
      </c>
      <c r="K17" t="str">
        <f ca="1">IF(COLUMN(K:K)&lt;=SUM(--($B$3:$L$3&lt;&gt;""))+1,INDEX($B$3:$L$3,0,SMALL(IF($B$3:$L$3&lt;&gt;"",COLUMN($B$3:$L$3)-1,""),COLUMN(K:K)-1)),"")</f>
        <v/>
      </c>
      <c r="L17" t="str">
        <f>IF(COLUMN(L:L)&lt;=SUM(--($B$3:$L$3&lt;&gt;""))+1,INDEX($B$3:$L$3,0,SMALL(IF($B$3:$L$3&lt;&gt;"",COLUMN($B$3:$L$3)-1,""),COLUMN(L:L)-1)),"")</f>
        <v/>
      </c>
    </row>
    <row r="18" spans="2:13">
      <c r="C18" t="str">
        <f>IF(COLUMN(C:C)&lt;=SUM(--($B$3:$L$3&lt;&gt;""))+1,INDEX($B$3:$L$3,0,SMALL(IF($B$3:$L$3&lt;&gt;"",COLUMN($B$3:$L$3)-1,""),COLUMN(C:C)-1)),"")</f>
        <v/>
      </c>
      <c r="D18" t="str">
        <f>IF(COLUMN(D:D)&lt;=SUM(--($B$3:$L$3&lt;&gt;""))+1,INDEX($B$3:$L$3,0,SMALL(IF($B$3:$L$3&lt;&gt;"",COLUMN($B$3:$L$3)-1,""),COLUMN(D:D)-1)),"")</f>
        <v/>
      </c>
      <c r="E18" t="str">
        <f>IF(COLUMN(E:E)&lt;=SUM(--($B$3:$L$3&lt;&gt;""))+1,INDEX($B$3:$L$3,0,SMALL(IF($B$3:$L$3&lt;&gt;"",COLUMN($B$3:$L$3)-1,""),COLUMN(E:E)-1)),"")</f>
        <v/>
      </c>
      <c r="F18" t="str">
        <f>IF(COLUMN(F:F)&lt;=SUM(--($B$3:$L$3&lt;&gt;""))+1,INDEX($B$3:$L$3,0,SMALL(IF($B$3:$L$3&lt;&gt;"",COLUMN($B$3:$L$3)-1,""),COLUMN(F:F)-1)),"")</f>
        <v/>
      </c>
      <c r="G18" t="str">
        <f>IF(COLUMN(G:G)&lt;=SUM(--($B$3:$L$3&lt;&gt;""))+1,INDEX($B$3:$L$3,0,SMALL(IF($B$3:$L$3&lt;&gt;"",COLUMN($B$3:$L$3)-1,""),COLUMN(G:G)-1)),"")</f>
        <v/>
      </c>
      <c r="H18" t="str">
        <f>IF(COLUMN(H:H)&lt;=SUM(--($B$3:$L$3&lt;&gt;""))+1,INDEX($B$3:$L$3,0,SMALL(IF($B$3:$L$3&lt;&gt;"",COLUMN($B$3:$L$3)-1,""),COLUMN(H:H)-1)),"")</f>
        <v/>
      </c>
      <c r="I18" t="str">
        <f ca="1">IF(COLUMN(I:I)&lt;=SUM(--($B$3:$L$3&lt;&gt;""))+1,INDEX($B$3:$L$3,0,SMALL(IF($B$3:$L$3&lt;&gt;"",COLUMN($B$3:$L$3)-1,""),COLUMN(I:I)-1)),"")</f>
        <v/>
      </c>
      <c r="J18" t="str">
        <f ca="1">IF(COLUMN(J:J)&lt;=SUM(--($B$3:$L$3&lt;&gt;""))+1,INDEX($B$3:$L$3,0,SMALL(IF($B$3:$L$3&lt;&gt;"",COLUMN($B$3:$L$3)-1,""),COLUMN(J:J)-1)),"")</f>
        <v/>
      </c>
      <c r="K18" t="str">
        <f ca="1">IF(COLUMN(K:K)&lt;=SUM(--($B$3:$L$3&lt;&gt;""))+1,INDEX($B$3:$L$3,0,SMALL(IF($B$3:$L$3&lt;&gt;"",COLUMN($B$3:$L$3)-1,""),COLUMN(K:K)-1)),"")</f>
        <v/>
      </c>
      <c r="L18" t="str">
        <f>IF(COLUMN(L:L)&lt;=SUM(--($B$3:$L$3&lt;&gt;""))+1,INDEX($B$3:$L$3,0,SMALL(IF($B$3:$L$3&lt;&gt;"",COLUMN($B$3:$L$3)-1,""),COLUMN(L:L)-1)),"")</f>
        <v/>
      </c>
    </row>
    <row r="20" spans="2:13">
      <c r="B20" t="b">
        <v>1</v>
      </c>
      <c r="C20" t="b">
        <v>0</v>
      </c>
      <c r="D20" t="b">
        <v>0</v>
      </c>
      <c r="F20" t="s">
        <v>55</v>
      </c>
      <c r="G20" t="s">
        <v>57</v>
      </c>
      <c r="H20">
        <v>1</v>
      </c>
      <c r="I20" t="s">
        <v>58</v>
      </c>
    </row>
    <row r="21" spans="2:13">
      <c r="B21" t="b">
        <v>1</v>
      </c>
      <c r="C21" t="b">
        <v>1</v>
      </c>
      <c r="D21" t="b">
        <v>0</v>
      </c>
      <c r="F21" t="s">
        <v>56</v>
      </c>
      <c r="I21" t="s">
        <v>59</v>
      </c>
      <c r="J21">
        <v>2</v>
      </c>
      <c r="K21" t="s">
        <v>58</v>
      </c>
    </row>
    <row r="22" spans="2:13">
      <c r="B22" t="b">
        <v>1</v>
      </c>
      <c r="C22" t="b">
        <v>1</v>
      </c>
      <c r="D22" t="b">
        <v>1</v>
      </c>
      <c r="F22" t="s">
        <v>56</v>
      </c>
      <c r="K22" t="s">
        <v>60</v>
      </c>
      <c r="L22">
        <v>3</v>
      </c>
      <c r="M2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2020-05-14T16:05:32Z</dcterms:created>
  <dcterms:modified xsi:type="dcterms:W3CDTF">2020-05-19T15:55:56Z</dcterms:modified>
</cp:coreProperties>
</file>